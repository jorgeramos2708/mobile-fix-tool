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. Instrucciones" sheetId="1" state="visible" r:id="rId1"/>
    <sheet xmlns:r="http://schemas.openxmlformats.org/officeDocument/2006/relationships" name="2. Inventario" sheetId="2" state="visible" r:id="rId2"/>
    <sheet xmlns:r="http://schemas.openxmlformats.org/officeDocument/2006/relationships" name="5. Listas" sheetId="3" state="visible" r:id="rId3"/>
    <sheet xmlns:r="http://schemas.openxmlformats.org/officeDocument/2006/relationships" name="3. Matriz de cobertura" sheetId="4" state="visible" r:id="rId4"/>
    <sheet xmlns:r="http://schemas.openxmlformats.org/officeDocument/2006/relationships" name="4. Bitácora de spikes" sheetId="5" state="visible" r:id="rId5"/>
  </sheets>
  <definedNames>
    <definedName name="_xlnm._FilterDatabase" localSheetId="1" hidden="1">'2. Inventario'!$A$1:$U$400</definedName>
    <definedName name="_xlnm._FilterDatabase" localSheetId="4" hidden="1">'4. Bitácora de spikes'!$A$1:$L$300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b val="1"/>
      <color rgb="001F2430"/>
      <sz val="14"/>
    </font>
    <font>
      <color rgb="006B7280"/>
      <sz val="10"/>
    </font>
    <font>
      <b val="1"/>
      <sz val="10"/>
    </font>
    <font>
      <sz val="10"/>
    </font>
    <font>
      <b val="1"/>
      <color rgb="00FFFFFF"/>
      <sz val="10"/>
    </font>
    <font>
      <i val="1"/>
      <color rgb="006B7280"/>
      <sz val="10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2430"/>
      </patternFill>
    </fill>
  </fills>
  <borders count="2">
    <border>
      <left/>
      <right/>
      <top/>
      <bottom/>
      <diagonal/>
    </border>
    <border>
      <left style="thin">
        <color rgb="00D8DCE3"/>
      </left>
      <right style="thin">
        <color rgb="00D8DCE3"/>
      </right>
      <top style="thin">
        <color rgb="00D8DCE3"/>
      </top>
      <bottom style="thin">
        <color rgb="00D8DCE3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 wrapText="1"/>
    </xf>
    <xf numFmtId="0" fontId="6" fillId="0" borderId="0" pivotButton="0" quotePrefix="0" xfId="0"/>
    <xf numFmtId="0" fontId="7" fillId="0" borderId="0" pivotButton="0" quotePrefix="0" xfId="0"/>
    <xf numFmtId="0" fontId="4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3"/>
  <sheetViews>
    <sheetView workbookViewId="0">
      <selection activeCell="A1" sqref="A1"/>
    </sheetView>
  </sheetViews>
  <sheetFormatPr baseColWidth="8" defaultRowHeight="15"/>
  <cols>
    <col width="4" customWidth="1" min="1" max="1"/>
    <col width="34" customWidth="1" min="2" max="2"/>
    <col width="96" customWidth="1" min="3" max="3"/>
  </cols>
  <sheetData>
    <row r="1">
      <c r="B1" s="1" t="inlineStr">
        <is>
          <t>INVENTARIO DEL BANCO DE PRUEBAS</t>
        </is>
      </c>
    </row>
    <row r="2">
      <c r="B2" s="2" t="inlineStr">
        <is>
          <t>M0-01 | Plataforma de diagnóstico, recuperación y reparación móvil</t>
        </is>
      </c>
    </row>
    <row r="3">
      <c r="B3" s="2" t="inlineStr">
        <is>
          <t>Objetivo: conocer con datos reales qué mecanismos son alcanzables con material legítimo. Este archivo es la fuente de la matriz de cobertura y del informe de viabilidad (M0-17).</t>
        </is>
      </c>
    </row>
    <row r="5" ht="28" customHeight="1">
      <c r="B5" s="3" t="inlineStr">
        <is>
          <t>Hoja 2. Inventario</t>
        </is>
      </c>
      <c r="C5" s="4" t="inlineStr">
        <is>
          <t>Un registro por equipo físico. Es la fuente de verdad del banco. Llenar TODAS las columnas grises obligatorias.</t>
        </is>
      </c>
    </row>
    <row r="6" ht="28" customHeight="1">
      <c r="B6" s="3" t="inlineStr">
        <is>
          <t>Hoja 3. Matriz de cobertura</t>
        </is>
      </c>
      <c r="C6" s="4" t="inlineStr">
        <is>
          <t>Se calcula sola a partir del Inventario. No editar a mano. Es el KPI de M0 y de todo el proyecto.</t>
        </is>
      </c>
    </row>
    <row r="7" ht="28" customHeight="1">
      <c r="B7" s="3" t="inlineStr">
        <is>
          <t>Hoja 4. Bitácora de spikes</t>
        </is>
      </c>
      <c r="C7" s="4" t="inlineStr">
        <is>
          <t>Un registro por prueba de mecanismo (M0-03 a M0-08). Aquí se documenta lo que funciona, lo que no, y por qué.</t>
        </is>
      </c>
    </row>
    <row r="8" ht="28" customHeight="1">
      <c r="B8" s="3" t="inlineStr">
        <is>
          <t>Hoja 5. Listas</t>
        </is>
      </c>
      <c r="C8" s="4" t="inlineStr">
        <is>
          <t>Valores válidos de los desplegables. Editar aquí para ampliar opciones.</t>
        </is>
      </c>
    </row>
    <row r="9" ht="28" customHeight="1">
      <c r="B9" s="3" t="inlineStr"/>
      <c r="C9" s="4" t="inlineStr"/>
    </row>
    <row r="10" ht="28" customHeight="1">
      <c r="B10" s="3" t="inlineStr">
        <is>
          <t>Regla de oro</t>
        </is>
      </c>
      <c r="C10" s="4" t="inlineStr">
        <is>
          <t>Ningún equipo entra al banco sin quedar fichado. Un equipo sin ficha es una cobertura que no se puede demostrar.</t>
        </is>
      </c>
    </row>
    <row r="11" ht="28" customHeight="1">
      <c r="B11" s="3" t="inlineStr">
        <is>
          <t>Honestidad</t>
        </is>
      </c>
      <c r="C11" s="4" t="inlineStr">
        <is>
          <t>Si un mecanismo falla, se anota el fallo con su causa. La matriz sin maquillar es lo que permite vender cobertura verificada.</t>
        </is>
      </c>
    </row>
    <row r="12" ht="28" customHeight="1">
      <c r="B12" s="3" t="inlineStr">
        <is>
          <t>Procedencia</t>
        </is>
      </c>
      <c r="C12" s="4" t="inlineStr">
        <is>
          <t>Para cada loader / auth file / firmware usado, registrar origen y hash en la Bitácora. Requisito legal (M0-12), no administrativo.</t>
        </is>
      </c>
    </row>
    <row r="13" ht="28" customHeight="1">
      <c r="B13" s="3" t="inlineStr">
        <is>
          <t>Qué NO hacer</t>
        </is>
      </c>
      <c r="C13" s="4" t="inlineStr">
        <is>
          <t>No fichar equipos de clientes con datos personales. Este archivo es infraestructura del banco, no una base de clientes.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2" customWidth="1" min="2" max="2"/>
    <col width="20" customWidth="1" min="3" max="3"/>
    <col width="16" customWidth="1" min="4" max="4"/>
    <col width="14" customWidth="1" min="5" max="5"/>
    <col width="18" customWidth="1" min="6" max="6"/>
    <col width="12" customWidth="1" min="7" max="7"/>
    <col width="22" customWidth="1" min="8" max="8"/>
    <col width="18" customWidth="1" min="9" max="9"/>
    <col width="14" customWidth="1" min="10" max="10"/>
    <col width="16" customWidth="1" min="11" max="11"/>
    <col width="18" customWidth="1" min="12" max="12"/>
    <col width="8" customWidth="1" min="13" max="13"/>
    <col width="8" customWidth="1" min="14" max="14"/>
    <col width="8" customWidth="1" min="15" max="15"/>
    <col width="8" customWidth="1" min="16" max="16"/>
    <col width="20" customWidth="1" min="17" max="17"/>
    <col width="22" customWidth="1" min="18" max="18"/>
    <col width="18" customWidth="1" min="19" max="19"/>
    <col width="16" customWidth="1" min="20" max="20"/>
    <col width="44" customWidth="1" min="21" max="21"/>
  </cols>
  <sheetData>
    <row r="1" ht="30" customHeight="1">
      <c r="A1" s="5" t="inlineStr">
        <is>
          <t>ID</t>
        </is>
      </c>
      <c r="B1" s="5" t="inlineStr">
        <is>
          <t>Marca</t>
        </is>
      </c>
      <c r="C1" s="5" t="inlineStr">
        <is>
          <t>Modelo</t>
        </is>
      </c>
      <c r="D1" s="5" t="inlineStr">
        <is>
          <t>Variante / Región</t>
        </is>
      </c>
      <c r="E1" s="5" t="inlineStr">
        <is>
          <t>SoC fabricante</t>
        </is>
      </c>
      <c r="F1" s="5" t="inlineStr">
        <is>
          <t>SoC modelo</t>
        </is>
      </c>
      <c r="G1" s="5" t="inlineStr">
        <is>
          <t>Plataforma</t>
        </is>
      </c>
      <c r="H1" s="5" t="inlineStr">
        <is>
          <t>Mecanismo accesible</t>
        </is>
      </c>
      <c r="I1" s="5" t="inlineStr">
        <is>
          <t>Requiere auth / token</t>
        </is>
      </c>
      <c r="J1" s="5" t="inlineStr">
        <is>
          <t>Bootloader</t>
        </is>
      </c>
      <c r="K1" s="5" t="inlineStr">
        <is>
          <t>Estado del equipo</t>
        </is>
      </c>
      <c r="L1" s="5" t="inlineStr">
        <is>
          <t>Nivel máx. alcanzable</t>
        </is>
      </c>
      <c r="M1" s="5" t="inlineStr">
        <is>
          <t>T1</t>
        </is>
      </c>
      <c r="N1" s="5" t="inlineStr">
        <is>
          <t>T2</t>
        </is>
      </c>
      <c r="O1" s="5" t="inlineStr">
        <is>
          <t>T3</t>
        </is>
      </c>
      <c r="P1" s="5" t="inlineStr">
        <is>
          <t>T4</t>
        </is>
      </c>
      <c r="Q1" s="5" t="inlineStr">
        <is>
          <t>Ubicación en banco</t>
        </is>
      </c>
      <c r="R1" s="5" t="inlineStr">
        <is>
          <t>Casos asignados</t>
        </is>
      </c>
      <c r="S1" s="5" t="inlineStr">
        <is>
          <t>Última verificación</t>
        </is>
      </c>
      <c r="T1" s="5" t="inlineStr">
        <is>
          <t>Verificado por</t>
        </is>
      </c>
      <c r="U1" s="5" t="inlineStr">
        <is>
          <t>Notas</t>
        </is>
      </c>
    </row>
    <row r="2">
      <c r="A2" s="6" t="inlineStr">
        <is>
          <t>BF-001</t>
        </is>
      </c>
      <c r="B2" s="6" t="inlineStr">
        <is>
          <t>Samsung</t>
        </is>
      </c>
      <c r="C2" s="6" t="inlineStr">
        <is>
          <t>Galaxy A13</t>
        </is>
      </c>
      <c r="D2" s="6" t="inlineStr">
        <is>
          <t>SM-A135M / LATAM</t>
        </is>
      </c>
      <c r="E2" s="6" t="inlineStr">
        <is>
          <t>MediaTek</t>
        </is>
      </c>
      <c r="F2" s="6" t="inlineStr">
        <is>
          <t>MT6769 Helio G80</t>
        </is>
      </c>
      <c r="G2" s="6" t="inlineStr">
        <is>
          <t>Android</t>
        </is>
      </c>
      <c r="H2" s="6" t="inlineStr">
        <is>
          <t>BROM / Preloader (MTK)</t>
        </is>
      </c>
      <c r="I2" s="6" t="inlineStr">
        <is>
          <t>Sí - propio</t>
        </is>
      </c>
      <c r="J2" s="6" t="inlineStr">
        <is>
          <t>Desbloqueado</t>
        </is>
      </c>
      <c r="K2" s="6" t="inlineStr">
        <is>
          <t>Bootloop</t>
        </is>
      </c>
      <c r="L2" s="6" t="inlineStr">
        <is>
          <t>L4 build.prop</t>
        </is>
      </c>
      <c r="M2" s="6" t="inlineStr">
        <is>
          <t>Sí</t>
        </is>
      </c>
      <c r="N2" s="6" t="inlineStr">
        <is>
          <t>Sí</t>
        </is>
      </c>
      <c r="O2" s="6" t="inlineStr">
        <is>
          <t>Parcial</t>
        </is>
      </c>
      <c r="P2" s="6" t="inlineStr">
        <is>
          <t>Parcial</t>
        </is>
      </c>
      <c r="Q2" s="6" t="inlineStr">
        <is>
          <t>Estante A</t>
        </is>
      </c>
      <c r="R2" s="6" t="inlineStr">
        <is>
          <t>Diagnóstico + T2</t>
        </is>
      </c>
      <c r="S2" s="6" t="inlineStr"/>
      <c r="T2" s="6" t="inlineStr"/>
      <c r="U2" s="6" t="inlineStr">
        <is>
          <t>Ejemplo: rellenar o borrar</t>
        </is>
      </c>
    </row>
    <row r="3">
      <c r="A3" s="6" t="inlineStr">
        <is>
          <t>BF-002</t>
        </is>
      </c>
      <c r="B3" s="6" t="inlineStr">
        <is>
          <t>Xiaomi / Redmi / POCO</t>
        </is>
      </c>
      <c r="C3" s="6" t="inlineStr">
        <is>
          <t>Redmi 9A</t>
        </is>
      </c>
      <c r="D3" s="6" t="inlineStr">
        <is>
          <t>M2006C3LG / Global</t>
        </is>
      </c>
      <c r="E3" s="6" t="inlineStr">
        <is>
          <t>MediaTek</t>
        </is>
      </c>
      <c r="F3" s="6" t="inlineStr">
        <is>
          <t>MT6762 Helio G25</t>
        </is>
      </c>
      <c r="G3" s="6" t="inlineStr">
        <is>
          <t>Android</t>
        </is>
      </c>
      <c r="H3" s="6" t="inlineStr">
        <is>
          <t>BROM / Preloader (MTK)</t>
        </is>
      </c>
      <c r="I3" s="6" t="inlineStr">
        <is>
          <t>Sí - requiere tercero legítimo</t>
        </is>
      </c>
      <c r="J3" s="6" t="inlineStr">
        <is>
          <t>Bloqueado</t>
        </is>
      </c>
      <c r="K3" s="6" t="inlineStr">
        <is>
          <t>No enciende</t>
        </is>
      </c>
      <c r="L3" s="6" t="inlineStr">
        <is>
          <t>L3 GPT</t>
        </is>
      </c>
      <c r="M3" s="6" t="inlineStr">
        <is>
          <t>Sí</t>
        </is>
      </c>
      <c r="N3" s="6" t="inlineStr">
        <is>
          <t>Parcial</t>
        </is>
      </c>
      <c r="O3" s="6" t="inlineStr">
        <is>
          <t>No</t>
        </is>
      </c>
      <c r="P3" s="6" t="inlineStr">
        <is>
          <t>—</t>
        </is>
      </c>
      <c r="Q3" s="6" t="inlineStr">
        <is>
          <t>Hub 1</t>
        </is>
      </c>
      <c r="R3" s="6" t="inlineStr">
        <is>
          <t>Unbrick</t>
        </is>
      </c>
      <c r="S3" s="6" t="inlineStr"/>
      <c r="T3" s="6" t="inlineStr"/>
      <c r="U3" s="6" t="inlineStr">
        <is>
          <t>Ejemplo: DAA/SLA presente</t>
        </is>
      </c>
    </row>
    <row r="4">
      <c r="A4" s="6" t="inlineStr">
        <is>
          <t>BF-003</t>
        </is>
      </c>
      <c r="B4" s="6" t="inlineStr">
        <is>
          <t>Motorola</t>
        </is>
      </c>
      <c r="C4" s="6" t="inlineStr">
        <is>
          <t>Moto G31</t>
        </is>
      </c>
      <c r="D4" s="6" t="inlineStr">
        <is>
          <t>XT2173 / LATAM</t>
        </is>
      </c>
      <c r="E4" s="6" t="inlineStr">
        <is>
          <t>MediaTek</t>
        </is>
      </c>
      <c r="F4" s="6" t="inlineStr">
        <is>
          <t>MT6769V</t>
        </is>
      </c>
      <c r="G4" s="6" t="inlineStr">
        <is>
          <t>Android</t>
        </is>
      </c>
      <c r="H4" s="6" t="inlineStr">
        <is>
          <t>BROM / Preloader (MTK)</t>
        </is>
      </c>
      <c r="I4" s="6" t="inlineStr">
        <is>
          <t>No</t>
        </is>
      </c>
      <c r="J4" s="6" t="inlineStr">
        <is>
          <t>Desbloqueado</t>
        </is>
      </c>
      <c r="K4" s="6" t="inlineStr">
        <is>
          <t>Funciona / enciende</t>
        </is>
      </c>
      <c r="L4" s="6" t="inlineStr">
        <is>
          <t>L6 baseband</t>
        </is>
      </c>
      <c r="M4" s="6" t="inlineStr">
        <is>
          <t>Sí</t>
        </is>
      </c>
      <c r="N4" s="6" t="inlineStr">
        <is>
          <t>Sí</t>
        </is>
      </c>
      <c r="O4" s="6" t="inlineStr">
        <is>
          <t>Sí</t>
        </is>
      </c>
      <c r="P4" s="6" t="inlineStr">
        <is>
          <t>Parcial</t>
        </is>
      </c>
      <c r="Q4" s="6" t="inlineStr">
        <is>
          <t>Estante B</t>
        </is>
      </c>
      <c r="R4" s="6" t="inlineStr">
        <is>
          <t>Referencia de identidad</t>
        </is>
      </c>
      <c r="S4" s="6" t="inlineStr"/>
      <c r="T4" s="6" t="inlineStr"/>
      <c r="U4" s="6" t="inlineStr">
        <is>
          <t>Ejemplo: equipo de control</t>
        </is>
      </c>
    </row>
    <row r="5">
      <c r="A5" s="6" t="inlineStr">
        <is>
          <t>BF-004</t>
        </is>
      </c>
      <c r="B5" s="6" t="inlineStr">
        <is>
          <t>Apple</t>
        </is>
      </c>
      <c r="C5" s="6" t="inlineStr">
        <is>
          <t>iPhone 11</t>
        </is>
      </c>
      <c r="D5" s="6" t="inlineStr">
        <is>
          <t>A2221</t>
        </is>
      </c>
      <c r="E5" s="6" t="inlineStr">
        <is>
          <t>Apple</t>
        </is>
      </c>
      <c r="F5" s="6" t="inlineStr">
        <is>
          <t>A13 Bionic</t>
        </is>
      </c>
      <c r="G5" s="6" t="inlineStr">
        <is>
          <t>iOS</t>
        </is>
      </c>
      <c r="H5" s="6" t="inlineStr">
        <is>
          <t>DFU (Apple)</t>
        </is>
      </c>
      <c r="I5" s="6" t="inlineStr">
        <is>
          <t>Sí - propio</t>
        </is>
      </c>
      <c r="J5" s="6" t="inlineStr">
        <is>
          <t>No aplica</t>
        </is>
      </c>
      <c r="K5" s="6" t="inlineStr">
        <is>
          <t>Funciona / enciende</t>
        </is>
      </c>
      <c r="L5" s="6" t="inlineStr">
        <is>
          <t>L4 build.prop</t>
        </is>
      </c>
      <c r="M5" s="6" t="inlineStr">
        <is>
          <t>Sí</t>
        </is>
      </c>
      <c r="N5" s="6" t="inlineStr">
        <is>
          <t>No</t>
        </is>
      </c>
      <c r="O5" s="6" t="inlineStr">
        <is>
          <t>No</t>
        </is>
      </c>
      <c r="P5" s="6" t="inlineStr">
        <is>
          <t>Parcial</t>
        </is>
      </c>
      <c r="Q5" s="6" t="inlineStr">
        <is>
          <t>Estante C</t>
        </is>
      </c>
      <c r="R5" s="6" t="inlineStr">
        <is>
          <t>Restore firmado + backup</t>
        </is>
      </c>
      <c r="S5" s="6" t="inlineStr"/>
      <c r="T5" s="6" t="inlineStr"/>
      <c r="U5" s="6" t="inlineStr">
        <is>
          <t>Ejemplo: sin downgrade</t>
        </is>
      </c>
    </row>
  </sheetData>
  <autoFilter ref="A1:U400"/>
  <dataValidations count="13">
    <dataValidation sqref="B2:B400" showDropDown="0" showInputMessage="1" showErrorMessage="0" allowBlank="1" promptTitle="Valores válidos" prompt="Marca / familia" type="list">
      <formula1>'5. Listas'!$B$3:$B$18</formula1>
    </dataValidation>
    <dataValidation sqref="E2:E400" showDropDown="0" showInputMessage="1" showErrorMessage="0" allowBlank="1" promptTitle="Valores válidos" prompt="Fabricante del SoC" type="list">
      <formula1>'5. Listas'!$C$3:$C$10</formula1>
    </dataValidation>
    <dataValidation sqref="H2:H400" showDropDown="0" showInputMessage="1" showErrorMessage="0" allowBlank="1" promptTitle="Valores válidos" prompt="Mecanismo de acceso de bajo nivel" type="list">
      <formula1>'5. Listas'!$D$3:$D$10</formula1>
    </dataValidation>
    <dataValidation sqref="I2:I400" showDropDown="0" showInputMessage="1" showErrorMessage="0" allowBlank="1" promptTitle="Valores válidos" prompt="¿El mecanismo exige autenticación o token?" type="list">
      <formula1>'5. Listas'!$E$3:$E$6</formula1>
    </dataValidation>
    <dataValidation sqref="J2:J400" showDropDown="0" showInputMessage="1" showErrorMessage="0" allowBlank="1" promptTitle="Valores válidos" prompt="Estado del bootloader" type="list">
      <formula1>'5. Listas'!$F$3:$F$6</formula1>
    </dataValidation>
    <dataValidation sqref="K2:K400" showDropDown="0" showInputMessage="1" showErrorMessage="0" allowBlank="1" promptTitle="Valores válidos" prompt="Estado físico / arranque" type="list">
      <formula1>'5. Listas'!$G$3:$G$10</formula1>
    </dataValidation>
    <dataValidation sqref="L2:L400" showDropDown="0" showInputMessage="1" showErrorMessage="0" allowBlank="1" promptTitle="Valores válidos" prompt="Peldaño más alto alcanzado en la escalera L0-L6" type="list">
      <formula1>'5. Listas'!$H$3:$H$10</formula1>
    </dataValidation>
    <dataValidation sqref="M2:M400" showDropDown="0" showInputMessage="0" showErrorMessage="0" allowBlank="1" type="list">
      <formula1>'5. Listas'!$I$3:$I$6</formula1>
    </dataValidation>
    <dataValidation sqref="N2:N400" showDropDown="0" showInputMessage="1" showErrorMessage="0" allowBlank="1" promptTitle="Valores válidos" prompt="T1-T4: ¿soportado en este equipo?" type="list">
      <formula1>'5. Listas'!$I$3:$I$6</formula1>
    </dataValidation>
    <dataValidation sqref="O2:O400" showDropDown="0" showInputMessage="1" showErrorMessage="0" allowBlank="1" promptTitle="Valores válidos" prompt="T1-T4: ¿soportado en este equipo?" type="list">
      <formula1>'5. Listas'!$I$3:$I$6</formula1>
    </dataValidation>
    <dataValidation sqref="P2:P400" showDropDown="0" showInputMessage="1" showErrorMessage="0" allowBlank="1" promptTitle="Valores válidos" prompt="T1-T4: ¿soportado en este equipo?" type="list">
      <formula1>'5. Listas'!$I$3:$I$6</formula1>
    </dataValidation>
    <dataValidation sqref="Q2:Q400" showDropDown="0" showInputMessage="1" showErrorMessage="0" allowBlank="1" promptTitle="Valores válidos" prompt="Ubicación física en el banco" type="list">
      <formula1>'5. Listas'!$K$3:$K$9</formula1>
    </dataValidation>
    <dataValidation sqref="G2:G400" showDropDown="0" showInputMessage="1" showErrorMessage="0" allowBlank="1" promptTitle="Valores válidos" prompt="Plataforma" type="list">
      <formula1>'5. Listas'!$J$3:$J$4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2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  <col width="26" customWidth="1" min="11" max="11"/>
    <col width="26" customWidth="1" min="12" max="12"/>
  </cols>
  <sheetData>
    <row r="1">
      <c r="A1" s="1" t="inlineStr">
        <is>
          <t>Valores válidos (editar aquí para ampliar los desplegables)</t>
        </is>
      </c>
    </row>
    <row r="3">
      <c r="A3" s="3" t="inlineStr">
        <is>
          <t>Marca</t>
        </is>
      </c>
      <c r="B3" t="inlineStr">
        <is>
          <t>Samsung</t>
        </is>
      </c>
      <c r="C3" t="inlineStr">
        <is>
          <t>Xiaomi / Redmi / POCO</t>
        </is>
      </c>
      <c r="D3" t="inlineStr">
        <is>
          <t>Motorola</t>
        </is>
      </c>
      <c r="E3" t="inlineStr">
        <is>
          <t>Tecno</t>
        </is>
      </c>
      <c r="F3" t="inlineStr">
        <is>
          <t>Infinix</t>
        </is>
      </c>
      <c r="G3" t="inlineStr">
        <is>
          <t>itel</t>
        </is>
      </c>
      <c r="H3" t="inlineStr">
        <is>
          <t>ZTE</t>
        </is>
      </c>
      <c r="I3" t="inlineStr">
        <is>
          <t>OPPO</t>
        </is>
      </c>
      <c r="J3" t="inlineStr">
        <is>
          <t>realme</t>
        </is>
      </c>
      <c r="K3" t="inlineStr">
        <is>
          <t>vivo</t>
        </is>
      </c>
      <c r="L3" t="inlineStr">
        <is>
          <t>Honor</t>
        </is>
      </c>
      <c r="M3" t="inlineStr">
        <is>
          <t>Huawei</t>
        </is>
      </c>
      <c r="N3" t="inlineStr">
        <is>
          <t>Apple</t>
        </is>
      </c>
      <c r="O3" t="inlineStr">
        <is>
          <t>Google</t>
        </is>
      </c>
      <c r="P3" t="inlineStr">
        <is>
          <t>Nokia</t>
        </is>
      </c>
      <c r="Q3" t="inlineStr">
        <is>
          <t>Otro</t>
        </is>
      </c>
    </row>
    <row r="4">
      <c r="A4" s="3" t="inlineStr">
        <is>
          <t>SoC fabricante</t>
        </is>
      </c>
      <c r="B4" t="inlineStr">
        <is>
          <t>Qualcomm</t>
        </is>
      </c>
      <c r="C4" t="inlineStr">
        <is>
          <t>MediaTek</t>
        </is>
      </c>
      <c r="D4" t="inlineStr">
        <is>
          <t>Unisoc</t>
        </is>
      </c>
      <c r="E4" t="inlineStr">
        <is>
          <t>Exynos</t>
        </is>
      </c>
      <c r="F4" t="inlineStr">
        <is>
          <t>HiSilicon</t>
        </is>
      </c>
      <c r="G4" t="inlineStr">
        <is>
          <t>Apple</t>
        </is>
      </c>
      <c r="H4" t="inlineStr">
        <is>
          <t>Google Tensor</t>
        </is>
      </c>
      <c r="I4" t="inlineStr">
        <is>
          <t>Desconocido</t>
        </is>
      </c>
    </row>
    <row r="5">
      <c r="A5" s="3" t="inlineStr">
        <is>
          <t>Mecanismo</t>
        </is>
      </c>
      <c r="B5" t="inlineStr">
        <is>
          <t>BROM / Preloader (MTK)</t>
        </is>
      </c>
      <c r="C5" t="inlineStr">
        <is>
          <t>EDL 9008 + Sahara (QC)</t>
        </is>
      </c>
      <c r="D5" t="inlineStr">
        <is>
          <t>FDL (Unisoc)</t>
        </is>
      </c>
      <c r="E5" t="inlineStr">
        <is>
          <t>EUB (Exynos)</t>
        </is>
      </c>
      <c r="F5" t="inlineStr">
        <is>
          <t>DFU (Apple)</t>
        </is>
      </c>
      <c r="G5" t="inlineStr">
        <is>
          <t>Fastboot</t>
        </is>
      </c>
      <c r="H5" t="inlineStr">
        <is>
          <t>Solo ADB</t>
        </is>
      </c>
      <c r="I5" t="inlineStr">
        <is>
          <t>Ninguno</t>
        </is>
      </c>
    </row>
    <row r="6">
      <c r="A6" s="3" t="inlineStr">
        <is>
          <t>Auth</t>
        </is>
      </c>
      <c r="B6" t="inlineStr">
        <is>
          <t>Sí - propio</t>
        </is>
      </c>
      <c r="C6" t="inlineStr">
        <is>
          <t>Sí - requiere tercero legítimo</t>
        </is>
      </c>
      <c r="D6" t="inlineStr">
        <is>
          <t>No</t>
        </is>
      </c>
      <c r="E6" t="inlineStr">
        <is>
          <t>Desconocido</t>
        </is>
      </c>
    </row>
    <row r="7">
      <c r="A7" s="3" t="inlineStr">
        <is>
          <t>Bootloader</t>
        </is>
      </c>
      <c r="B7" t="inlineStr">
        <is>
          <t>Desbloqueado</t>
        </is>
      </c>
      <c r="C7" t="inlineStr">
        <is>
          <t>Bloqueado</t>
        </is>
      </c>
      <c r="D7" t="inlineStr">
        <is>
          <t>No aplica</t>
        </is>
      </c>
      <c r="E7" t="inlineStr">
        <is>
          <t>Desconocido</t>
        </is>
      </c>
    </row>
    <row r="8">
      <c r="A8" s="3" t="inlineStr">
        <is>
          <t>Estado</t>
        </is>
      </c>
      <c r="B8" t="inlineStr">
        <is>
          <t>Funciona / enciende</t>
        </is>
      </c>
      <c r="C8" t="inlineStr">
        <is>
          <t>Bootloop</t>
        </is>
      </c>
      <c r="D8" t="inlineStr">
        <is>
          <t>No enciende</t>
        </is>
      </c>
      <c r="E8" t="inlineStr">
        <is>
          <t>Solo recovery</t>
        </is>
      </c>
      <c r="F8" t="inlineStr">
        <is>
          <t>Solo BROM/EDL</t>
        </is>
      </c>
      <c r="G8" t="inlineStr">
        <is>
          <t>Brick total</t>
        </is>
      </c>
      <c r="H8" t="inlineStr">
        <is>
          <t>Muerto (hardware)</t>
        </is>
      </c>
    </row>
    <row r="9">
      <c r="A9" s="3" t="inlineStr">
        <is>
          <t>Nivel</t>
        </is>
      </c>
      <c r="B9" t="inlineStr">
        <is>
          <t>L0 descriptor USB</t>
        </is>
      </c>
      <c r="C9" t="inlineStr">
        <is>
          <t>L1 interface</t>
        </is>
      </c>
      <c r="D9" t="inlineStr">
        <is>
          <t>L2 handshake</t>
        </is>
      </c>
      <c r="E9" t="inlineStr">
        <is>
          <t>L3 GPT</t>
        </is>
      </c>
      <c r="F9" t="inlineStr">
        <is>
          <t>L4 build.prop</t>
        </is>
      </c>
      <c r="G9" t="inlineStr">
        <is>
          <t>L5 board ID</t>
        </is>
      </c>
      <c r="H9" t="inlineStr">
        <is>
          <t>L6 baseband</t>
        </is>
      </c>
    </row>
    <row r="10">
      <c r="A10" s="3" t="inlineStr">
        <is>
          <t>Sí/Parcial/No</t>
        </is>
      </c>
      <c r="B10" t="inlineStr">
        <is>
          <t>Sí</t>
        </is>
      </c>
      <c r="C10" t="inlineStr">
        <is>
          <t>Parcial</t>
        </is>
      </c>
      <c r="D10" t="inlineStr">
        <is>
          <t>No</t>
        </is>
      </c>
      <c r="E10" t="inlineStr">
        <is>
          <t>—</t>
        </is>
      </c>
    </row>
    <row r="11">
      <c r="A11" s="3" t="inlineStr">
        <is>
          <t>Plataforma</t>
        </is>
      </c>
      <c r="B11" t="inlineStr">
        <is>
          <t>Android</t>
        </is>
      </c>
      <c r="C11" t="inlineStr">
        <is>
          <t>iOS</t>
        </is>
      </c>
      <c r="D11" t="inlineStr">
        <is>
          <t>Otro</t>
        </is>
      </c>
    </row>
    <row r="12">
      <c r="A12" s="3" t="inlineStr">
        <is>
          <t>Ubicación</t>
        </is>
      </c>
      <c r="B12" t="inlineStr">
        <is>
          <t>Estante A</t>
        </is>
      </c>
      <c r="C12" t="inlineStr">
        <is>
          <t>Estante B</t>
        </is>
      </c>
      <c r="D12" t="inlineStr">
        <is>
          <t>Estante C</t>
        </is>
      </c>
      <c r="E12" t="inlineStr">
        <is>
          <t>Hub 1</t>
        </is>
      </c>
      <c r="F12" t="inlineStr">
        <is>
          <t>Hub 2</t>
        </is>
      </c>
      <c r="G12" t="inlineStr">
        <is>
          <t>Caja pendientes</t>
        </is>
      </c>
      <c r="H12" t="inlineStr">
        <is>
          <t>Rack de caos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8"/>
  <sheetViews>
    <sheetView showGridLines="0"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MATRIZ DE COBERTURA — calculada desde '2. Inventario'</t>
        </is>
      </c>
    </row>
    <row r="2">
      <c r="A2" s="2" t="inlineStr">
        <is>
          <t>No editar a mano. Rango considerado: filas 2 a 400 de la hoja Inventario.</t>
        </is>
      </c>
    </row>
    <row r="4">
      <c r="A4" s="7" t="inlineStr">
        <is>
          <t>1. Equipos por mecanismo de acceso</t>
        </is>
      </c>
    </row>
    <row r="5" ht="30" customHeight="1">
      <c r="A5" s="5" t="inlineStr">
        <is>
          <t>Mecanismo</t>
        </is>
      </c>
      <c r="B5" s="5" t="inlineStr">
        <is>
          <t>Equipos</t>
        </is>
      </c>
      <c r="C5" s="5" t="inlineStr">
        <is>
          <t>% del banco</t>
        </is>
      </c>
      <c r="D5" s="5" t="inlineStr">
        <is>
          <t>Con auth requerida</t>
        </is>
      </c>
    </row>
    <row r="6">
      <c r="A6" s="8" t="inlineStr">
        <is>
          <t>BROM / Preloader (MTK)</t>
        </is>
      </c>
      <c r="B6">
        <f>COUNTIF('2. Inventario'!$H$2:$H$400,$A6)</f>
        <v/>
      </c>
      <c r="C6" s="9">
        <f>IFERROR(B6/COUNTA('2. Inventario'!$A$2:$A$400),0)</f>
        <v/>
      </c>
      <c r="D6">
        <f>COUNTIFS('2. Inventario'!$H$2:$H$400,$A6,'2. Inventario'!$I$2:$I$400,"Sí*")</f>
        <v/>
      </c>
    </row>
    <row r="7">
      <c r="A7" s="8" t="inlineStr">
        <is>
          <t>EDL 9008 + Sahara (QC)</t>
        </is>
      </c>
      <c r="B7">
        <f>COUNTIF('2. Inventario'!$H$2:$H$400,$A7)</f>
        <v/>
      </c>
      <c r="C7" s="9">
        <f>IFERROR(B7/COUNTA('2. Inventario'!$A$2:$A$400),0)</f>
        <v/>
      </c>
      <c r="D7">
        <f>COUNTIFS('2. Inventario'!$H$2:$H$400,$A7,'2. Inventario'!$I$2:$I$400,"Sí*")</f>
        <v/>
      </c>
    </row>
    <row r="8">
      <c r="A8" s="8" t="inlineStr">
        <is>
          <t>FDL (Unisoc)</t>
        </is>
      </c>
      <c r="B8">
        <f>COUNTIF('2. Inventario'!$H$2:$H$400,$A8)</f>
        <v/>
      </c>
      <c r="C8" s="9">
        <f>IFERROR(B8/COUNTA('2. Inventario'!$A$2:$A$400),0)</f>
        <v/>
      </c>
      <c r="D8">
        <f>COUNTIFS('2. Inventario'!$H$2:$H$400,$A8,'2. Inventario'!$I$2:$I$400,"Sí*")</f>
        <v/>
      </c>
    </row>
    <row r="9">
      <c r="A9" s="8" t="inlineStr">
        <is>
          <t>EUB (Exynos)</t>
        </is>
      </c>
      <c r="B9">
        <f>COUNTIF('2. Inventario'!$H$2:$H$400,$A9)</f>
        <v/>
      </c>
      <c r="C9" s="9">
        <f>IFERROR(B9/COUNTA('2. Inventario'!$A$2:$A$400),0)</f>
        <v/>
      </c>
      <c r="D9">
        <f>COUNTIFS('2. Inventario'!$H$2:$H$400,$A9,'2. Inventario'!$I$2:$I$400,"Sí*")</f>
        <v/>
      </c>
    </row>
    <row r="10">
      <c r="A10" s="8" t="inlineStr">
        <is>
          <t>DFU (Apple)</t>
        </is>
      </c>
      <c r="B10">
        <f>COUNTIF('2. Inventario'!$H$2:$H$400,$A10)</f>
        <v/>
      </c>
      <c r="C10" s="9">
        <f>IFERROR(B10/COUNTA('2. Inventario'!$A$2:$A$400),0)</f>
        <v/>
      </c>
      <c r="D10">
        <f>COUNTIFS('2. Inventario'!$H$2:$H$400,$A10,'2. Inventario'!$I$2:$I$400,"Sí*")</f>
        <v/>
      </c>
    </row>
    <row r="11">
      <c r="A11" s="8" t="inlineStr">
        <is>
          <t>Fastboot</t>
        </is>
      </c>
      <c r="B11">
        <f>COUNTIF('2. Inventario'!$H$2:$H$400,$A11)</f>
        <v/>
      </c>
      <c r="C11" s="9">
        <f>IFERROR(B11/COUNTA('2. Inventario'!$A$2:$A$400),0)</f>
        <v/>
      </c>
      <c r="D11">
        <f>COUNTIFS('2. Inventario'!$H$2:$H$400,$A11,'2. Inventario'!$I$2:$I$400,"Sí*")</f>
        <v/>
      </c>
    </row>
    <row r="12">
      <c r="A12" s="8" t="inlineStr">
        <is>
          <t>Solo ADB</t>
        </is>
      </c>
      <c r="B12">
        <f>COUNTIF('2. Inventario'!$H$2:$H$400,$A12)</f>
        <v/>
      </c>
      <c r="C12" s="9">
        <f>IFERROR(B12/COUNTA('2. Inventario'!$A$2:$A$400),0)</f>
        <v/>
      </c>
      <c r="D12">
        <f>COUNTIFS('2. Inventario'!$H$2:$H$400,$A12,'2. Inventario'!$I$2:$I$400,"Sí*")</f>
        <v/>
      </c>
    </row>
    <row r="13">
      <c r="A13" s="8" t="inlineStr">
        <is>
          <t>Ninguno</t>
        </is>
      </c>
      <c r="B13">
        <f>COUNTIF('2. Inventario'!$H$2:$H$400,$A13)</f>
        <v/>
      </c>
      <c r="C13" s="9">
        <f>IFERROR(B13/COUNTA('2. Inventario'!$A$2:$A$400),0)</f>
        <v/>
      </c>
      <c r="D13">
        <f>COUNTIFS('2. Inventario'!$H$2:$H$400,$A13,'2. Inventario'!$I$2:$I$400,"Sí*")</f>
        <v/>
      </c>
    </row>
    <row r="15">
      <c r="A15" s="7" t="inlineStr">
        <is>
          <t>2. Nivel más alto alcanzado (escalera L0-L6)</t>
        </is>
      </c>
    </row>
    <row r="16" ht="30" customHeight="1">
      <c r="A16" s="5" t="inlineStr">
        <is>
          <t>Nivel</t>
        </is>
      </c>
      <c r="B16" s="5" t="inlineStr">
        <is>
          <t>Equipos</t>
        </is>
      </c>
      <c r="C16" s="5" t="inlineStr">
        <is>
          <t>% del banco</t>
        </is>
      </c>
    </row>
    <row r="17">
      <c r="A17" s="8" t="inlineStr">
        <is>
          <t>L0 descriptor USB</t>
        </is>
      </c>
      <c r="B17">
        <f>COUNTIF('2. Inventario'!$L$2:$L$400,$A17)</f>
        <v/>
      </c>
      <c r="C17" s="9">
        <f>IFERROR(B17/COUNTA('2. Inventario'!$A$2:$A$400),0)</f>
        <v/>
      </c>
    </row>
    <row r="18">
      <c r="A18" s="8" t="inlineStr">
        <is>
          <t>L1 interface</t>
        </is>
      </c>
      <c r="B18">
        <f>COUNTIF('2. Inventario'!$L$2:$L$400,$A18)</f>
        <v/>
      </c>
      <c r="C18" s="9">
        <f>IFERROR(B18/COUNTA('2. Inventario'!$A$2:$A$400),0)</f>
        <v/>
      </c>
    </row>
    <row r="19">
      <c r="A19" s="8" t="inlineStr">
        <is>
          <t>L2 handshake</t>
        </is>
      </c>
      <c r="B19">
        <f>COUNTIF('2. Inventario'!$L$2:$L$400,$A19)</f>
        <v/>
      </c>
      <c r="C19" s="9">
        <f>IFERROR(B19/COUNTA('2. Inventario'!$A$2:$A$400),0)</f>
        <v/>
      </c>
    </row>
    <row r="20">
      <c r="A20" s="8" t="inlineStr">
        <is>
          <t>L3 GPT</t>
        </is>
      </c>
      <c r="B20">
        <f>COUNTIF('2. Inventario'!$L$2:$L$400,$A20)</f>
        <v/>
      </c>
      <c r="C20" s="9">
        <f>IFERROR(B20/COUNTA('2. Inventario'!$A$2:$A$400),0)</f>
        <v/>
      </c>
    </row>
    <row r="21">
      <c r="A21" s="8" t="inlineStr">
        <is>
          <t>L4 build.prop</t>
        </is>
      </c>
      <c r="B21">
        <f>COUNTIF('2. Inventario'!$L$2:$L$400,$A21)</f>
        <v/>
      </c>
      <c r="C21" s="9">
        <f>IFERROR(B21/COUNTA('2. Inventario'!$A$2:$A$400),0)</f>
        <v/>
      </c>
    </row>
    <row r="22">
      <c r="A22" s="8" t="inlineStr">
        <is>
          <t>L5 board ID</t>
        </is>
      </c>
      <c r="B22">
        <f>COUNTIF('2. Inventario'!$L$2:$L$400,$A22)</f>
        <v/>
      </c>
      <c r="C22" s="9">
        <f>IFERROR(B22/COUNTA('2. Inventario'!$A$2:$A$400),0)</f>
        <v/>
      </c>
    </row>
    <row r="23">
      <c r="A23" s="8" t="inlineStr">
        <is>
          <t>L6 baseband</t>
        </is>
      </c>
      <c r="B23">
        <f>COUNTIF('2. Inventario'!$L$2:$L$400,$A23)</f>
        <v/>
      </c>
      <c r="C23" s="9">
        <f>IFERROR(B23/COUNTA('2. Inventario'!$A$2:$A$400),0)</f>
        <v/>
      </c>
    </row>
    <row r="25">
      <c r="A25" s="7" t="inlineStr">
        <is>
          <t>3. Cobertura por nivel de intervención (T1-T4)</t>
        </is>
      </c>
    </row>
    <row r="26" ht="30" customHeight="1">
      <c r="A26" s="5" t="inlineStr">
        <is>
          <t>Nivel</t>
        </is>
      </c>
      <c r="B26" s="5" t="inlineStr">
        <is>
          <t>Sí</t>
        </is>
      </c>
      <c r="C26" s="5" t="inlineStr">
        <is>
          <t>Parcial</t>
        </is>
      </c>
      <c r="D26" s="5" t="inlineStr">
        <is>
          <t>No</t>
        </is>
      </c>
      <c r="E26" s="5" t="inlineStr">
        <is>
          <t>—</t>
        </is>
      </c>
      <c r="F26" s="5" t="inlineStr">
        <is>
          <t>% Sí</t>
        </is>
      </c>
    </row>
    <row r="27">
      <c r="A27" s="8" t="inlineStr">
        <is>
          <t>T1 diagnóstico</t>
        </is>
      </c>
      <c r="B27">
        <f>COUNTIF('2. Inventario'!$M$2:$M$400,"Sí")</f>
        <v/>
      </c>
      <c r="C27">
        <f>COUNTIF('2. Inventario'!$M$2:$M$400,"Parcial")</f>
        <v/>
      </c>
      <c r="D27">
        <f>COUNTIF('2. Inventario'!$M$2:$M$400,"No")</f>
        <v/>
      </c>
      <c r="E27">
        <f>COUNTIF('2. Inventario'!$M$2:$M$400,"—")</f>
        <v/>
      </c>
      <c r="F27" s="9">
        <f>IFERROR(B27/COUNTA('2. Inventario'!$A$2:$A$400),0)</f>
        <v/>
      </c>
    </row>
    <row r="28">
      <c r="A28" s="8" t="inlineStr">
        <is>
          <t>T2 arranque</t>
        </is>
      </c>
      <c r="B28">
        <f>COUNTIF('2. Inventario'!$N$2:$N$400,"Sí")</f>
        <v/>
      </c>
      <c r="C28">
        <f>COUNTIF('2. Inventario'!$N$2:$N$400,"Parcial")</f>
        <v/>
      </c>
      <c r="D28">
        <f>COUNTIF('2. Inventario'!$N$2:$N$400,"No")</f>
        <v/>
      </c>
      <c r="E28">
        <f>COUNTIF('2. Inventario'!$N$2:$N$400,"—")</f>
        <v/>
      </c>
      <c r="F28" s="9">
        <f>IFERROR(B28/COUNTA('2. Inventario'!$A$2:$A$400),0)</f>
        <v/>
      </c>
    </row>
    <row r="29">
      <c r="A29" s="8" t="inlineStr">
        <is>
          <t>T3 particiones</t>
        </is>
      </c>
      <c r="B29">
        <f>COUNTIF('2. Inventario'!$O$2:$O$400,"Sí")</f>
        <v/>
      </c>
      <c r="C29">
        <f>COUNTIF('2. Inventario'!$O$2:$O$400,"Parcial")</f>
        <v/>
      </c>
      <c r="D29">
        <f>COUNTIF('2. Inventario'!$O$2:$O$400,"No")</f>
        <v/>
      </c>
      <c r="E29">
        <f>COUNTIF('2. Inventario'!$O$2:$O$400,"—")</f>
        <v/>
      </c>
      <c r="F29" s="9">
        <f>IFERROR(B29/COUNTA('2. Inventario'!$A$2:$A$400),0)</f>
        <v/>
      </c>
    </row>
    <row r="30">
      <c r="A30" s="8" t="inlineStr">
        <is>
          <t>T4 datos</t>
        </is>
      </c>
      <c r="B30">
        <f>COUNTIF('2. Inventario'!$P$2:$P$400,"Sí")</f>
        <v/>
      </c>
      <c r="C30">
        <f>COUNTIF('2. Inventario'!$P$2:$P$400,"Parcial")</f>
        <v/>
      </c>
      <c r="D30">
        <f>COUNTIF('2. Inventario'!$P$2:$P$400,"No")</f>
        <v/>
      </c>
      <c r="E30">
        <f>COUNTIF('2. Inventario'!$P$2:$P$400,"—")</f>
        <v/>
      </c>
      <c r="F30" s="9">
        <f>IFERROR(B30/COUNTA('2. Inventario'!$A$2:$A$400),0)</f>
        <v/>
      </c>
    </row>
    <row r="32">
      <c r="A32" s="7" t="inlineStr">
        <is>
          <t>4. KPI del hito M0</t>
        </is>
      </c>
    </row>
    <row r="33" ht="30" customHeight="1">
      <c r="A33" s="5" t="inlineStr">
        <is>
          <t>Indicador</t>
        </is>
      </c>
      <c r="B33" s="5" t="inlineStr">
        <is>
          <t>Valor</t>
        </is>
      </c>
    </row>
    <row r="34">
      <c r="A34" s="8" t="inlineStr">
        <is>
          <t>Equipos fichados</t>
        </is>
      </c>
      <c r="B34">
        <f>COUNTA('2. Inventario'!$A$2:$A$400)</f>
        <v/>
      </c>
    </row>
    <row r="35">
      <c r="A35" s="8" t="inlineStr">
        <is>
          <t>Mecanismos con al menos 1 equipo (objetivo: 4)</t>
        </is>
      </c>
      <c r="B35">
        <f>COUNTIF($B$6:$B$13,"&gt;0")</f>
        <v/>
      </c>
    </row>
    <row r="36">
      <c r="A36" s="8" t="inlineStr">
        <is>
          <t>% identificado a nivel modelo o superior (objetivo M2: 85%)</t>
        </is>
      </c>
      <c r="B36" s="9">
        <f>IFERROR(COUNTIFS('2. Inventario'!$L$2:$L$400,"L4 build.prop")+COUNTIFS('2. Inventario'!$L$2:$L$400,"L5 board ID")+COUNTIFS('2. Inventario'!$L$2:$L$400,"L6 baseband"),0)/COUNTA('2. Inventario'!$A$2:$A$400)</f>
        <v/>
      </c>
    </row>
    <row r="37">
      <c r="A37" s="8" t="inlineStr">
        <is>
          <t>Equipos con T2 soportado (objetivo M5: 50%)</t>
        </is>
      </c>
      <c r="B37" s="9">
        <f>IFERROR(COUNTIF('2. Inventario'!$N$2:$N$400,"Sí")/COUNTA('2. Inventario'!$A$2:$A$400),0)</f>
        <v/>
      </c>
    </row>
    <row r="38">
      <c r="A38" s="8" t="inlineStr">
        <is>
          <t>Equipos con T3 soportado (objetivo M7: 70% incl. plugins OEM)</t>
        </is>
      </c>
      <c r="B38" s="9">
        <f>IFERROR(COUNTIF('2. Inventario'!$O$2:$O$400,"Sí")/COUNTA('2. Inventario'!$A$2:$A$400),0)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6" customWidth="1" min="4" max="4"/>
    <col width="14" customWidth="1" min="5" max="5"/>
    <col width="12" customWidth="1" min="6" max="6"/>
    <col width="12" customWidth="1" min="7" max="7"/>
    <col width="11" customWidth="1" min="8" max="8"/>
    <col width="20" customWidth="1" min="9" max="9"/>
    <col width="46" customWidth="1" min="10" max="10"/>
    <col width="52" customWidth="1" min="11" max="11"/>
    <col width="26" customWidth="1" min="12" max="12"/>
  </cols>
  <sheetData>
    <row r="1" ht="30" customHeight="1">
      <c r="A1" s="5" t="inlineStr">
        <is>
          <t>Fecha</t>
        </is>
      </c>
      <c r="B1" s="5" t="inlineStr">
        <is>
          <t>Spike / ID</t>
        </is>
      </c>
      <c r="C1" s="5" t="inlineStr">
        <is>
          <t>Mecanismo</t>
        </is>
      </c>
      <c r="D1" s="5" t="inlineStr">
        <is>
          <t>Equipo (ID banco)</t>
        </is>
      </c>
      <c r="E1" s="5" t="inlineStr">
        <is>
          <t>Resultado</t>
        </is>
      </c>
      <c r="F1" s="5" t="inlineStr">
        <is>
          <t>Lectura OK</t>
        </is>
      </c>
      <c r="G1" s="5" t="inlineStr">
        <is>
          <t>Escritura OK</t>
        </is>
      </c>
      <c r="H1" s="5" t="inlineStr">
        <is>
          <t>Tiempo (s)</t>
        </is>
      </c>
      <c r="I1" s="5" t="inlineStr">
        <is>
          <t>Auth / token usado</t>
        </is>
      </c>
      <c r="J1" s="5" t="inlineStr">
        <is>
          <t>Procedencia del material (origen + hash)</t>
        </is>
      </c>
      <c r="K1" s="5" t="inlineStr">
        <is>
          <t>Hallazgos / códigos de error</t>
        </is>
      </c>
      <c r="L1" s="5" t="inlineStr">
        <is>
          <t>Archivos generados</t>
        </is>
      </c>
    </row>
  </sheetData>
  <autoFilter ref="A1:L300"/>
  <dataValidations count="3">
    <dataValidation sqref="E2:E300" showDropDown="0" showInputMessage="0" showErrorMessage="0" allowBlank="1" type="list">
      <formula1>"Éxito,Fallo parcial,Fallo,No concluyente"</formula1>
    </dataValidation>
    <dataValidation sqref="F2:F300" showDropDown="0" showInputMessage="0" showErrorMessage="0" allowBlank="1" type="list">
      <formula1>"Sí,No,N/A"</formula1>
    </dataValidation>
    <dataValidation sqref="G2:G300" showDropDown="0" showInputMessage="0" showErrorMessage="0" allowBlank="1" type="list">
      <formula1>"Sí,No,N/A"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2026-09-26T06:07:30Z</dcterms:created>
  <dcterms:modified xmlns:dcterms="http://purl.org/dc/terms/" xmlns:xsi="http://www.w3.org/2001/XMLSchema-instance" xsi:type="dcterms:W3CDTF">2026-09-26T06:07:30Z</dcterms:modified>
</cp:coreProperties>
</file>