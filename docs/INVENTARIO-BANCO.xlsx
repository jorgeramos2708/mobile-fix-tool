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mp" ContentType="image/bmp"/>
  <Default Extension="jpeg" ContentType="image/jpeg"/>
  <Default Extension="png" ContentType="image/png"/>
  <Default Extension="gif" ContentType="image/gif"/>
  <Default Extension="tif" ContentType="image/tif"/>
  <Default Extension="svg" ContentType="image/svg+xml"/>
  <Default Extension="emf" ContentType="image/x-emf"/>
  <Default Extension="wmf" ContentType="image/x-wmf"/>
  <Default Extension="pct" ContentType="image/pct"/>
  <Default Extension="pcx" ContentType="image/pcx"/>
  <Default Extension="tga" ContentType="image/tga"/>
  <Default Extension="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 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fileSharing readOnlyRecommended="0" userName="Administrador"/>
  <workbookPr/>
  <bookViews>
    <workbookView activeTab="4" xWindow="240" yWindow="60" windowWidth="0" windowHeight="0"/>
  </bookViews>
  <sheets>
    <sheet name="1. Instrucciones" sheetId="1" r:id="rId4"/>
    <sheet name="2. Inventario" sheetId="2" r:id="rId5"/>
    <sheet name="5. Listas" sheetId="3" r:id="rId6"/>
    <sheet name="3. Matriz de cobertura" sheetId="4" r:id="rId7"/>
    <sheet name="4. Bitácora de spikes" sheetId="5" r:id="rId8"/>
  </sheets>
  <definedNames>
    <definedName name="_xlnm._FilterDatabase" localSheetId="1" hidden="1">'2. Inventario'!$A$1:$U$400</definedName>
    <definedName name="_xlnm._FilterDatabase" localSheetId="4" hidden="1">'4. Bitácora de spikes'!$A$1:$L$300</definedName>
  </definedNames>
  <calcPr/>
  <extLst>
    <ext uri="smNativeData">
      <pm:revision xmlns:pm="smNativeData" day="1790404482" val="1234" rev="124" revOS="4" revMin="124" revMax="0"/>
      <pm:docPrefs xmlns:pm="smNativeData" id="1790404482" fixedDigits="0" showNotice="1" showFrameBounds="1" autoChart="1" recalcOnPrint="1" recalcOnCopy="1" finalRounding="1" compatTextArt="1" tab="567" useDefinedPrintRange="1" printArea="currentSheet"/>
      <pm:compatibility xmlns:pm="smNativeData" id="1790404482" overlapCells="1"/>
      <pm:defCurrency xmlns:pm="smNativeData" id="1790404482"/>
    </ext>
  </extLst>
</workbook>
</file>

<file path=xl/sharedStrings.xml><?xml version="1.0" encoding="utf-8"?>
<sst xmlns="http://schemas.openxmlformats.org/spreadsheetml/2006/main" count="252" uniqueCount="252">
  <si>
    <t>INVENTARIO DEL BANCO DE PRUEBAS</t>
  </si>
  <si>
    <t>M0-01 | Plataforma de diagnóstico, recuperación y reparación móvil</t>
  </si>
  <si>
    <t>Objetivo: conocer con datos reales qué mecanismos son alcanzables con material legítimo. Este archivo es la fuente de la matriz de cobertura y del informe de viabilidad (M0-17).</t>
  </si>
  <si>
    <t>Hoja 2. Inventario</t>
  </si>
  <si>
    <t>Un registro por equipo físico. Es la fuente de verdad del banco. Llenar TODAS las columnas grises obligatorias.</t>
  </si>
  <si>
    <t>Hoja 3. Matriz de cobertura</t>
  </si>
  <si>
    <t>Se calcula sola a partir del Inventario. No editar a mano. Es el KPI de M0 y de todo el proyecto.</t>
  </si>
  <si>
    <t>Hoja 4. Bitácora de spikes</t>
  </si>
  <si>
    <t>Un registro por prueba de mecanismo (M0-03 a M0-08). Aquí se documenta lo que funciona, lo que no, y por qué.</t>
  </si>
  <si>
    <t>Hoja 5. Listas</t>
  </si>
  <si>
    <t>Valores válidos de los desplegables. Editar aquí para ampliar opciones.</t>
  </si>
  <si>
    <t>Regla de oro</t>
  </si>
  <si>
    <t>Ningún equipo entra al banco sin quedar fichado. Un equipo sin ficha es una cobertura que no se puede demostrar.</t>
  </si>
  <si>
    <t>Fallas</t>
  </si>
  <si>
    <t>Si un mecanismo falla, se anota el fallo con su causa. La matriz sin maquillar es lo que permite vender cobertura verificada.</t>
  </si>
  <si>
    <t>Procedencia</t>
  </si>
  <si>
    <t>Para cada loader / auth file / firmware usado, registrar origen y hash en la Bitácora. Requisito legal (M0-12), no administrativo.</t>
  </si>
  <si>
    <t>Qué NO hacer</t>
  </si>
  <si>
    <t>No fichar equipos de clientes con datos personales. Este archivo es infraestructura del banco, no una base de clientes.</t>
  </si>
  <si>
    <t>ID</t>
  </si>
  <si>
    <t>Marca</t>
  </si>
  <si>
    <t>Modelo</t>
  </si>
  <si>
    <t>Variante / Región</t>
  </si>
  <si>
    <t>SoC fabricante</t>
  </si>
  <si>
    <t>SoC modelo</t>
  </si>
  <si>
    <t>Plataforma</t>
  </si>
  <si>
    <t>Mecanismo accesible</t>
  </si>
  <si>
    <t>Requiere auth / token</t>
  </si>
  <si>
    <t>Bootloader</t>
  </si>
  <si>
    <t>Estado del equipo</t>
  </si>
  <si>
    <t>Nivel máx. alcanzable</t>
  </si>
  <si>
    <t>T1</t>
  </si>
  <si>
    <t>T2</t>
  </si>
  <si>
    <t>T3</t>
  </si>
  <si>
    <t>T4</t>
  </si>
  <si>
    <t>Ubicación en banco</t>
  </si>
  <si>
    <t>Casos asignados</t>
  </si>
  <si>
    <t>Última verificación</t>
  </si>
  <si>
    <t>Verificado por</t>
  </si>
  <si>
    <t>Notas</t>
  </si>
  <si>
    <t>BF-001</t>
  </si>
  <si>
    <t>Samsung</t>
  </si>
  <si>
    <t>Galaxy A13</t>
  </si>
  <si>
    <t>SM-A135M / LATAM</t>
  </si>
  <si>
    <t>MediaTek</t>
  </si>
  <si>
    <t>MT6769 Helio G80</t>
  </si>
  <si>
    <t>Android</t>
  </si>
  <si>
    <t>BROM / Preloader (MTK)</t>
  </si>
  <si>
    <t>Sí - propio</t>
  </si>
  <si>
    <t>Desbloqueado</t>
  </si>
  <si>
    <t>Bootloop</t>
  </si>
  <si>
    <t>L4 build.prop</t>
  </si>
  <si>
    <t>Sí</t>
  </si>
  <si>
    <t>Sí</t>
  </si>
  <si>
    <t>Parcial</t>
  </si>
  <si>
    <t>Parcial</t>
  </si>
  <si>
    <t>Estante A</t>
  </si>
  <si>
    <t>Diagnóstico + T2</t>
  </si>
  <si>
    <t>Ejemplo: rellenar o borrar</t>
  </si>
  <si>
    <t>BF-002</t>
  </si>
  <si>
    <t>Xiaomi / Redmi / POCO</t>
  </si>
  <si>
    <t>Redmi 9A</t>
  </si>
  <si>
    <t>M2006C3LG / Global</t>
  </si>
  <si>
    <t>MediaTek</t>
  </si>
  <si>
    <t>MT6762 Helio G25</t>
  </si>
  <si>
    <t>Android</t>
  </si>
  <si>
    <t>BROM / Preloader (MTK)</t>
  </si>
  <si>
    <t>Sí - requiere tercero legítimo</t>
  </si>
  <si>
    <t>Bloqueado</t>
  </si>
  <si>
    <t>No enciende</t>
  </si>
  <si>
    <t>L3 GPT</t>
  </si>
  <si>
    <t>Sí</t>
  </si>
  <si>
    <t>Parcial</t>
  </si>
  <si>
    <t>No</t>
  </si>
  <si>
    <t>—</t>
  </si>
  <si>
    <t>Hub 1</t>
  </si>
  <si>
    <t>Unbrick</t>
  </si>
  <si>
    <t>Ejemplo: DAA/SLA presente</t>
  </si>
  <si>
    <t>BF-003</t>
  </si>
  <si>
    <t>Motorola</t>
  </si>
  <si>
    <t>Moto G31</t>
  </si>
  <si>
    <t>XT2173 / LATAM</t>
  </si>
  <si>
    <t>MediaTek</t>
  </si>
  <si>
    <t>MT6769V</t>
  </si>
  <si>
    <t>Android</t>
  </si>
  <si>
    <t>BROM / Preloader (MTK)</t>
  </si>
  <si>
    <t>No</t>
  </si>
  <si>
    <t>Desbloqueado</t>
  </si>
  <si>
    <t>Funciona / enciende</t>
  </si>
  <si>
    <t>L6 baseband</t>
  </si>
  <si>
    <t>Sí</t>
  </si>
  <si>
    <t>Sí</t>
  </si>
  <si>
    <t>Sí</t>
  </si>
  <si>
    <t>Parcial</t>
  </si>
  <si>
    <t>Estante B</t>
  </si>
  <si>
    <t>Referencia de identidad</t>
  </si>
  <si>
    <t>Ejemplo: equipo de control</t>
  </si>
  <si>
    <t>BF-004</t>
  </si>
  <si>
    <t>Apple</t>
  </si>
  <si>
    <t>iPhone 11</t>
  </si>
  <si>
    <t>A2221</t>
  </si>
  <si>
    <t>Apple</t>
  </si>
  <si>
    <t>A13 Bionic</t>
  </si>
  <si>
    <t>iOS</t>
  </si>
  <si>
    <t>DFU (Apple)</t>
  </si>
  <si>
    <t>Sí - propio</t>
  </si>
  <si>
    <t>No aplica</t>
  </si>
  <si>
    <t>Funciona / enciende</t>
  </si>
  <si>
    <t>L4 build.prop</t>
  </si>
  <si>
    <t>Sí</t>
  </si>
  <si>
    <t>No</t>
  </si>
  <si>
    <t>No</t>
  </si>
  <si>
    <t>Parcial</t>
  </si>
  <si>
    <t>Estante C</t>
  </si>
  <si>
    <t>Restore firmado + backup</t>
  </si>
  <si>
    <t>Ejemplo: sin downgrade</t>
  </si>
  <si>
    <t>Valores válidos (editar aquí para ampliar los desplegables)</t>
  </si>
  <si>
    <t>Marca</t>
  </si>
  <si>
    <t>Samsung</t>
  </si>
  <si>
    <t>Xiaomi / Redmi / POCO</t>
  </si>
  <si>
    <t>Motorola</t>
  </si>
  <si>
    <t>Tecno</t>
  </si>
  <si>
    <t>Infinix</t>
  </si>
  <si>
    <t>itel</t>
  </si>
  <si>
    <t>ZTE</t>
  </si>
  <si>
    <t>OPPO</t>
  </si>
  <si>
    <t>realme</t>
  </si>
  <si>
    <t>vivo</t>
  </si>
  <si>
    <t>Honor</t>
  </si>
  <si>
    <t>Huawei</t>
  </si>
  <si>
    <t>Apple</t>
  </si>
  <si>
    <t>Google</t>
  </si>
  <si>
    <t>Nokia</t>
  </si>
  <si>
    <t>Otro</t>
  </si>
  <si>
    <t>SoC fabricante</t>
  </si>
  <si>
    <t>Qualcomm</t>
  </si>
  <si>
    <t>MediaTek</t>
  </si>
  <si>
    <t>Unisoc</t>
  </si>
  <si>
    <t>Exynos</t>
  </si>
  <si>
    <t>HiSilicon</t>
  </si>
  <si>
    <t>Apple</t>
  </si>
  <si>
    <t>Google Tensor</t>
  </si>
  <si>
    <t>Desconocido</t>
  </si>
  <si>
    <t>Mecanismo</t>
  </si>
  <si>
    <t>BROM / Preloader (MTK)</t>
  </si>
  <si>
    <t>EDL 9008 + Sahara (QC)</t>
  </si>
  <si>
    <t>FDL (Unisoc)</t>
  </si>
  <si>
    <t>EUB (Exynos)</t>
  </si>
  <si>
    <t>DFU (Apple)</t>
  </si>
  <si>
    <t>Fastboot</t>
  </si>
  <si>
    <t>Solo ADB</t>
  </si>
  <si>
    <t>Ninguno</t>
  </si>
  <si>
    <t>Auth</t>
  </si>
  <si>
    <t>Sí - propio</t>
  </si>
  <si>
    <t>Sí - requiere tercero legítimo</t>
  </si>
  <si>
    <t>No</t>
  </si>
  <si>
    <t>Desconocido</t>
  </si>
  <si>
    <t>Bootloader</t>
  </si>
  <si>
    <t>Desbloqueado</t>
  </si>
  <si>
    <t>Bloqueado</t>
  </si>
  <si>
    <t>No aplica</t>
  </si>
  <si>
    <t>Desconocido</t>
  </si>
  <si>
    <t>Estado</t>
  </si>
  <si>
    <t>Funciona / enciende</t>
  </si>
  <si>
    <t>Bootloop</t>
  </si>
  <si>
    <t>No enciende</t>
  </si>
  <si>
    <t>Solo recovery</t>
  </si>
  <si>
    <t>Solo BROM/EDL</t>
  </si>
  <si>
    <t>Brick total</t>
  </si>
  <si>
    <t>Muerto (hardware)</t>
  </si>
  <si>
    <t>Nivel</t>
  </si>
  <si>
    <t>L0 descriptor USB</t>
  </si>
  <si>
    <t>L1 interface</t>
  </si>
  <si>
    <t>L2 handshake</t>
  </si>
  <si>
    <t>L3 GPT</t>
  </si>
  <si>
    <t>L4 build.prop</t>
  </si>
  <si>
    <t>L5 board ID</t>
  </si>
  <si>
    <t>L6 baseband</t>
  </si>
  <si>
    <t>Sí/Parcial/No</t>
  </si>
  <si>
    <t>Sí</t>
  </si>
  <si>
    <t>Parcial</t>
  </si>
  <si>
    <t>No</t>
  </si>
  <si>
    <t>—</t>
  </si>
  <si>
    <t>Plataforma</t>
  </si>
  <si>
    <t>Android</t>
  </si>
  <si>
    <t>iOS</t>
  </si>
  <si>
    <t>Otro</t>
  </si>
  <si>
    <t>Ubicación</t>
  </si>
  <si>
    <t>Estante A</t>
  </si>
  <si>
    <t>Estante B</t>
  </si>
  <si>
    <t>Estante C</t>
  </si>
  <si>
    <t>Hub 1</t>
  </si>
  <si>
    <t>Hub 2</t>
  </si>
  <si>
    <t>Caja pendientes</t>
  </si>
  <si>
    <t>Rack de caos</t>
  </si>
  <si>
    <t>MATRIZ DE COBERTURA — calculada desde Inventario</t>
  </si>
  <si>
    <t>No editar a mano. Rango considerado: filas 2 a 400 de la hoja Inventario.</t>
  </si>
  <si>
    <t>1. Equipos por mecanismo de acceso</t>
  </si>
  <si>
    <t>Mecanismo</t>
  </si>
  <si>
    <t>Equipos</t>
  </si>
  <si>
    <t>% del banco</t>
  </si>
  <si>
    <t>Con auth requerida</t>
  </si>
  <si>
    <t>BROM / Preloader (MTK)</t>
  </si>
  <si>
    <t>EDL 9008 + Sahara (QC)</t>
  </si>
  <si>
    <t>FDL (Unisoc)</t>
  </si>
  <si>
    <t>EUB (Exynos)</t>
  </si>
  <si>
    <t>DFU (Apple)</t>
  </si>
  <si>
    <t>Fastboot</t>
  </si>
  <si>
    <t>Solo ADB</t>
  </si>
  <si>
    <t>Ninguno</t>
  </si>
  <si>
    <t>2. Nivel más alto alcanzado (escalera L0-L6)</t>
  </si>
  <si>
    <t>Nivel</t>
  </si>
  <si>
    <t>Equipos</t>
  </si>
  <si>
    <t>% del banco</t>
  </si>
  <si>
    <t>L0 descriptor USB</t>
  </si>
  <si>
    <t>L1 interface</t>
  </si>
  <si>
    <t>L2 handshake</t>
  </si>
  <si>
    <t>L3 GPT</t>
  </si>
  <si>
    <t>L4 build.prop</t>
  </si>
  <si>
    <t>L5 board ID</t>
  </si>
  <si>
    <t>L6 baseband</t>
  </si>
  <si>
    <t>3. Cobertura por nivel de intervención (T1-T4)</t>
  </si>
  <si>
    <t>Nivel</t>
  </si>
  <si>
    <t>Sí</t>
  </si>
  <si>
    <t>Parcial</t>
  </si>
  <si>
    <t>No</t>
  </si>
  <si>
    <t>—</t>
  </si>
  <si>
    <t>% Sí</t>
  </si>
  <si>
    <t>T1 diagnóstico</t>
  </si>
  <si>
    <t>T2 arranque</t>
  </si>
  <si>
    <t>T3 particiones</t>
  </si>
  <si>
    <t>T4 datos</t>
  </si>
  <si>
    <t>4. KPI del hito M0</t>
  </si>
  <si>
    <t>Indicador</t>
  </si>
  <si>
    <t>Valor</t>
  </si>
  <si>
    <t>Equipos fichados</t>
  </si>
  <si>
    <t>Mecanismos con al menos 1 equipo (objetivo: 4)</t>
  </si>
  <si>
    <t>% identificado a nivel modelo o superior (objetivo M2: 85%)</t>
  </si>
  <si>
    <t>Equipos con T2 soportado (objetivo M5: 50%)</t>
  </si>
  <si>
    <t>Equipos con T3 soportado (objetivo M7: 70% incl. plugins OEM)</t>
  </si>
  <si>
    <t>Fecha</t>
  </si>
  <si>
    <t>Spike / ID</t>
  </si>
  <si>
    <t>Mecanismo</t>
  </si>
  <si>
    <t>Equipo (ID banco)</t>
  </si>
  <si>
    <t>Resultado</t>
  </si>
  <si>
    <t>Lectura OK</t>
  </si>
  <si>
    <t>Escritura OK</t>
  </si>
  <si>
    <t>Tiempo (s)</t>
  </si>
  <si>
    <t>Auth / token usado</t>
  </si>
  <si>
    <t>Procedencia del material (origen + hash)</t>
  </si>
  <si>
    <t>Hallazgos / códigos de error</t>
  </si>
  <si>
    <t>Archivos generados</t>
  </si>
</sst>
</file>

<file path=xl/styles.xml><?xml version="1.0" encoding="utf-8"?>
<styleSheet xmlns="http://schemas.openxmlformats.org/spreadsheetml/2006/main">
  <numFmts count="9">
    <numFmt numFmtId="5" formatCode="#,##0\ &quot;$&quot;;\-#,##0\ &quot;$&quot;"/>
    <numFmt numFmtId="6" formatCode="#,##0\ &quot;$&quot;;[Red]\-#,##0\ &quot;$&quot;"/>
    <numFmt numFmtId="7" formatCode="#,##0.00\ &quot;$&quot;;\-#,##0.00\ &quot;$&quot;"/>
    <numFmt numFmtId="8" formatCode="#,##0.00\ &quot;$&quot;;[Red]\-#,##0.00\ &quot;$&quot;"/>
    <numFmt numFmtId="42" formatCode="_-* #,##0\ &quot;$&quot;_-;\-* #,##0\ &quot;$&quot;_-;_-* &quot;-&quot;\ &quot;$&quot;_-;_-@_-"/>
    <numFmt numFmtId="41" formatCode="_-* #,##0\ _$_-;\-* #,##0\ _$_-;_-* &quot;-&quot;\ _$_-;_-@_-"/>
    <numFmt numFmtId="44" formatCode="_-* #,##0.00\ &quot;$&quot;_-;\-* #,##0.00\ &quot;$&quot;_-;_-* &quot;-&quot;??\ &quot;$&quot;_-;_-@_-"/>
    <numFmt numFmtId="43" formatCode="_-* #,##0.00\ _$_-;\-* #,##0.00\ _$_-;_-* &quot;-&quot;??\ _$_-;_-@_-"/>
    <numFmt numFmtId="164" formatCode="0.0%"/>
  </numFmts>
  <fonts count="8">
    <font>
      <name val="Calibri"/>
      <family val="2"/>
      <color rgb="FF000000"/>
      <sz val="11"/>
      <extLst>
        <ext uri="smNativeData">
          <pm:charSpec xmlns:pm="smNativeData" id="1790404482" ulstyle="none" kern="1">
            <pm:latin face="Calibri" sz="220" lang="default"/>
            <pm:cs face="Times New Roman" sz="220" lang="default"/>
            <pm:ea face="SimSun" sz="220" lang="default"/>
          </pm:charSpec>
        </ext>
      </extLst>
    </font>
    <font>
      <name val="Arial"/>
      <family val="2"/>
      <color rgb="FF000000"/>
      <sz val="10"/>
      <extLst>
        <ext uri="smNativeData">
          <pm:charSpec xmlns:pm="smNativeData" id="1790404482" ulstyle="none" kern="1">
            <pm:latin face="Arial" sz="200" lang="default"/>
            <pm:cs face="Times New Roman" sz="200" lang="default"/>
            <pm:ea face="SimSun" sz="200" lang="default"/>
          </pm:charSpec>
        </ext>
      </extLst>
    </font>
    <font>
      <name val="Arial"/>
      <family val="2"/>
      <b/>
      <color rgb="FF1F2430"/>
      <sz val="14"/>
      <extLst>
        <ext uri="smNativeData">
          <pm:charSpec xmlns:pm="smNativeData" id="1790404482" fgClr="1F2430" ulstyle="none" kern="1">
            <pm:latin face="Arial" sz="280" lang="default" weight="bold"/>
            <pm:cs face="Times New Roman" sz="280" lang="default" weight="bold"/>
            <pm:ea face="SimSun" sz="280" lang="default" weight="bold"/>
          </pm:charSpec>
        </ext>
      </extLst>
    </font>
    <font>
      <name val="Arial"/>
      <family val="2"/>
      <color rgb="FF6B7280"/>
      <sz val="10"/>
      <extLst>
        <ext uri="smNativeData">
          <pm:charSpec xmlns:pm="smNativeData" id="1790404482" fgClr="6B7280" ulstyle="none" kern="1">
            <pm:latin face="Arial" sz="200" lang="default"/>
            <pm:cs face="Times New Roman" sz="200" lang="default"/>
            <pm:ea face="SimSun" sz="200" lang="default"/>
          </pm:charSpec>
        </ext>
      </extLst>
    </font>
    <font>
      <name val="Arial"/>
      <family val="2"/>
      <b/>
      <color rgb="FF000000"/>
      <sz val="10"/>
      <extLst>
        <ext uri="smNativeData">
          <pm:charSpec xmlns:pm="smNativeData" id="1790404482" ulstyle="none" kern="1">
            <pm:latin face="Arial" sz="200" lang="default" weight="bold"/>
            <pm:cs face="Times New Roman" sz="200" lang="default" weight="bold"/>
            <pm:ea face="SimSun" sz="200" lang="default" weight="bold"/>
          </pm:charSpec>
        </ext>
      </extLst>
    </font>
    <font>
      <name val="Arial"/>
      <family val="2"/>
      <b/>
      <color rgb="FFFFFFFF"/>
      <sz val="10"/>
      <extLst>
        <ext uri="smNativeData">
          <pm:charSpec xmlns:pm="smNativeData" id="1790404482" fgClr="FFFFFF" ulstyle="none" kern="1">
            <pm:latin face="Arial" sz="200" lang="default" weight="bold"/>
            <pm:cs face="Times New Roman" sz="200" lang="default" weight="bold"/>
            <pm:ea face="SimSun" sz="200" lang="default" weight="bold"/>
          </pm:charSpec>
        </ext>
      </extLst>
    </font>
    <font>
      <name val="Arial"/>
      <family val="2"/>
      <i/>
      <color rgb="FF6B7280"/>
      <sz val="10"/>
      <extLst>
        <ext uri="smNativeData">
          <pm:charSpec xmlns:pm="smNativeData" id="1790404482" fgClr="6B7280" ulstyle="none" kern="1">
            <pm:latin face="Arial" sz="200" lang="default" i="1"/>
            <pm:cs face="Times New Roman" sz="200" lang="default" i="1"/>
            <pm:ea face="SimSun" sz="200" lang="default" i="1"/>
          </pm:charSpec>
        </ext>
      </extLst>
    </font>
    <font>
      <name val="Arial"/>
      <family val="2"/>
      <b/>
      <color rgb="FF000000"/>
      <sz val="11"/>
      <extLst>
        <ext uri="smNativeData">
          <pm:charSpec xmlns:pm="smNativeData" id="1790404482" ulstyle="none" kern="1">
            <pm:latin face="Arial" sz="220" lang="default" weight="bold"/>
            <pm:cs face="Times New Roman" sz="220" lang="default" weight="bold"/>
            <pm:ea face="SimSun" sz="220" lang="default" weight="bold"/>
          </pm:charSpec>
        </ext>
      </extLst>
    </font>
  </fonts>
  <fills count="4">
    <fill>
      <patternFill patternType="none"/>
    </fill>
    <fill>
      <patternFill patternType="gray125"/>
    </fill>
    <fill>
      <patternFill patternType="solid">
        <fgColor rgb="FF1F2430"/>
        <bgColor rgb="FFFFFFFF"/>
        <extLst>
          <ext uri="smNativeData">
            <pm:shade xmlns:pm="smNativeData" id="1790404482" type="1" fgLvl="100" fgClr="001F2430" bgLvl="0" bgClr="00FFFFFF"/>
          </ext>
        </extLst>
      </patternFill>
    </fill>
    <fill>
      <patternFill patternType="solid">
        <fgColor rgb="FFFFFFFF"/>
        <bgColor rgb="FFFFFFFF"/>
        <extLst>
          <ext uri="smNativeData">
            <pm:shade xmlns:pm="smNativeData" id="1790404482" type="1" fgLvl="100" fgClr="00FFFFFF" bgLvl="100" bgClr="00000000"/>
          </ext>
        </extLst>
      </patternFill>
    </fill>
  </fills>
  <borders count="3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90404482"/>
        </ext>
      </extLst>
    </border>
    <border>
      <left style="thin">
        <color rgb="FFD8DCE3"/>
      </left>
      <right style="thin">
        <color rgb="FFD8DCE3"/>
      </right>
      <top style="thin">
        <color rgb="FFD8DCE3"/>
      </top>
      <bottom style="thin">
        <color rgb="FFD8DCE3"/>
      </bottom>
      <extLst>
        <ext uri="smNativeData">
          <pm:border xmlns:pm="smNativeData" id="1790404482">
            <pm:line position="top" type="1" style="0" width="20" dist="20" width2="20" rgb="D8DCE3"/>
            <pm:line position="bottom" type="1" style="0" width="20" dist="20" width2="20" rgb="D8DCE3"/>
            <pm:line position="left" type="1" style="0" width="20" dist="20" width2="20" rgb="D8DCE3"/>
            <pm:line position="right" type="1" style="0" width="20" dist="20" width2="20" rgb="D8DCE3"/>
          </pm:border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90404482"/>
        </ext>
      </extLst>
    </border>
  </borders>
  <cellStyleXfs count="1">
    <xf numFmtId="0" fontId="0" fillId="0" borderId="0" applyNumberFormat="1" applyFont="1" applyFill="1" applyBorder="1" applyAlignment="1" applyProtection="1"/>
  </cellStyleXfs>
  <cellXfs count="10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1" fillId="0" borderId="0" xfId="0" applyFont="1" applyAlignment="1">
      <alignment vertical="top" wrapText="1"/>
    </xf>
    <xf numFmtId="0" fontId="5" fillId="2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1" fillId="0" borderId="0" xfId="0" applyFont="1"/>
    <xf numFmtId="164" fontId="0" fillId="0" borderId="0" xfId="0" applyNumberFormat="1"/>
  </cellXfs>
  <cellStyles count="1">
    <cellStyle name="Normal" xfId="0" builtinId="0" customBuiltin="1"/>
  </cellStyles>
  <tableStyles count="0"/>
  <extLst>
    <ext uri="smNativeData">
      <pm:charStyles xmlns:pm="smNativeData" id="1790404482" count="1">
        <pm:charStyle name="Normal" fontId="0" Id="1"/>
      </pm:charStyles>
      <pm:colors xmlns:pm="smNativeData" id="1790404482" count="3">
        <pm:color name="Color 24" rgb="1F2430"/>
        <pm:color name="Color 25" rgb="6B7280"/>
        <pm:color name="Color 26" rgb="D8DCE3"/>
      </pm:colors>
    </ext>
  </extLst>
</styleSheet>
</file>

<file path=xl/_rels/workbook.xml.rels><?xml version="1.0" encoding="UTF-8" standalone="yes" 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SimSu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prstTxWarp prst="textNoShape">
          <a:avLst/>
        </a:prstTxWarp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B1:C13"/>
  <sheetViews>
    <sheetView view="normal" topLeftCell="A4" workbookViewId="0">
      <selection activeCell="B11" sqref="B11"/>
    </sheetView>
  </sheetViews>
  <sheetFormatPr defaultRowHeight="15.40"/>
  <cols>
    <col min="1" max="1" width="4.000000" customWidth="1"/>
    <col min="2" max="2" width="34.000000" customWidth="1"/>
    <col min="3" max="3" width="96.000000" customWidth="1"/>
  </cols>
  <sheetData>
    <row r="1" spans="2:2">
      <c r="B1" s="1" t="s">
        <v>0</v>
      </c>
    </row>
    <row r="2" spans="2:2">
      <c r="B2" s="2" t="s">
        <v>1</v>
      </c>
    </row>
    <row r="3" spans="2:2">
      <c r="B3" s="2" t="s">
        <v>2</v>
      </c>
    </row>
    <row r="5" spans="2:3" ht="28" customHeight="1">
      <c r="B5" s="3" t="s">
        <v>3</v>
      </c>
      <c r="C5" s="4" t="s">
        <v>4</v>
      </c>
    </row>
    <row r="6" spans="2:3" ht="28" customHeight="1">
      <c r="B6" s="3" t="s">
        <v>5</v>
      </c>
      <c r="C6" s="4" t="s">
        <v>6</v>
      </c>
    </row>
    <row r="7" spans="2:3" ht="28" customHeight="1">
      <c r="B7" s="3" t="s">
        <v>7</v>
      </c>
      <c r="C7" s="4" t="s">
        <v>8</v>
      </c>
    </row>
    <row r="8" spans="2:3" ht="28" customHeight="1">
      <c r="B8" s="3" t="s">
        <v>9</v>
      </c>
      <c r="C8" s="4" t="s">
        <v>10</v>
      </c>
    </row>
    <row r="9" spans="2:3" ht="28" customHeight="1">
      <c r="B9" s="3"/>
      <c r="C9" s="4"/>
    </row>
    <row r="10" spans="2:3" ht="28" customHeight="1">
      <c r="B10" s="3" t="s">
        <v>11</v>
      </c>
      <c r="C10" s="4" t="s">
        <v>12</v>
      </c>
    </row>
    <row r="11" spans="2:3" ht="28" customHeight="1">
      <c r="B11" s="3" t="s">
        <v>13</v>
      </c>
      <c r="C11" s="4" t="s">
        <v>14</v>
      </c>
    </row>
    <row r="12" spans="2:3" ht="28" customHeight="1">
      <c r="B12" s="3" t="s">
        <v>15</v>
      </c>
      <c r="C12" s="4" t="s">
        <v>16</v>
      </c>
    </row>
    <row r="13" spans="2:3" ht="28" customHeight="1">
      <c r="B13" s="3" t="s">
        <v>17</v>
      </c>
      <c r="C13" s="4" t="s">
        <v>18</v>
      </c>
    </row>
  </sheetData>
  <printOptions>
    <extLst>
      <ext uri="smNativeData">
        <pm:pageFlags xmlns:pm="smNativeData" id="1790404482" printRowHead="0" printColHead="0" printHeadLine="0" printFootLine="0" autoHeightHeader="0" autoHeightFooter="0" fitToPageBoth="0"/>
      </ext>
    </extLst>
  </printOptions>
  <pageMargins left="0.750000" right="0.750000" top="1.000000" bottom="1.000000" header="0.500000" footer="0.500000"/>
  <pageSetup paperSize="1" fitToWidth="0" fitToHeight="1" pageOrder="overThenDown"/>
  <headerFooter>
    <extLst>
      <ext uri="smNativeData">
        <pm:header xmlns:pm="smNativeData" id="1790404482" l="56" r="56" t="56" b="56" borderId="0" fillId="0" vertical="0"/>
        <pm:footer xmlns:pm="smNativeData" id="1790404482" l="56" r="56" t="56" b="56" borderId="0" fillId="0" vertical="2"/>
        <pm:paperBin xmlns:pm="smNativeData" id="1790404482" Id="0" type="0" value="0"/>
        <pm:paperBin xmlns:pm="smNativeData" id="1790404482" Id="1" type="0" value="0"/>
      </ext>
    </extLst>
  </headerFooter>
  <extLst>
    <ext uri="smNativeData">
      <pm:sheetPrefs xmlns:pm="smNativeData" day="1790404482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>
  <sheetPr filterMode="1"/>
  <dimension ref="A1:U5"/>
  <sheetViews>
    <sheetView showGridLines="0" view="normal" workbookViewId="0">
      <pane xSplit="2" ySplit="1" topLeftCell="C2" activePane="bottomRight" state="frozen"/>
      <selection pane="bottomRight" activeCell="A1" sqref="A1"/>
    </sheetView>
  </sheetViews>
  <sheetFormatPr defaultRowHeight="15.40"/>
  <cols>
    <col min="1" max="1" width="8.000000" customWidth="1"/>
    <col min="2" max="2" width="12.000000" customWidth="1"/>
    <col min="3" max="3" width="20.000000" customWidth="1"/>
    <col min="4" max="4" width="16.000000" customWidth="1"/>
    <col min="5" max="5" width="14.000000" customWidth="1"/>
    <col min="6" max="6" width="18.000000" customWidth="1"/>
    <col min="7" max="7" width="12.000000" customWidth="1"/>
    <col min="8" max="8" width="22.000000" customWidth="1"/>
    <col min="9" max="9" width="18.000000" customWidth="1"/>
    <col min="10" max="10" width="14.000000" customWidth="1"/>
    <col min="11" max="11" width="16.000000" customWidth="1"/>
    <col min="12" max="12" width="18.000000" customWidth="1"/>
    <col min="13" max="16" width="8.000000" customWidth="1"/>
    <col min="17" max="17" width="20.000000" customWidth="1"/>
    <col min="18" max="18" width="22.000000" customWidth="1"/>
    <col min="19" max="19" width="18.000000" customWidth="1"/>
    <col min="20" max="20" width="16.000000" customWidth="1"/>
    <col min="21" max="21" width="44.000000" customWidth="1"/>
  </cols>
  <sheetData>
    <row r="1" spans="1:21" ht="30" customHeight="1">
      <c r="A1" s="5" t="s">
        <v>19</v>
      </c>
      <c r="B1" s="5" t="s">
        <v>20</v>
      </c>
      <c r="C1" s="5" t="s">
        <v>21</v>
      </c>
      <c r="D1" s="5" t="s">
        <v>22</v>
      </c>
      <c r="E1" s="5" t="s">
        <v>23</v>
      </c>
      <c r="F1" s="5" t="s">
        <v>24</v>
      </c>
      <c r="G1" s="5" t="s">
        <v>25</v>
      </c>
      <c r="H1" s="5" t="s">
        <v>26</v>
      </c>
      <c r="I1" s="5" t="s">
        <v>27</v>
      </c>
      <c r="J1" s="5" t="s">
        <v>28</v>
      </c>
      <c r="K1" s="5" t="s">
        <v>29</v>
      </c>
      <c r="L1" s="5" t="s">
        <v>30</v>
      </c>
      <c r="M1" s="5" t="s">
        <v>31</v>
      </c>
      <c r="N1" s="5" t="s">
        <v>32</v>
      </c>
      <c r="O1" s="5" t="s">
        <v>33</v>
      </c>
      <c r="P1" s="5" t="s">
        <v>34</v>
      </c>
      <c r="Q1" s="5" t="s">
        <v>35</v>
      </c>
      <c r="R1" s="5" t="s">
        <v>36</v>
      </c>
      <c r="S1" s="5" t="s">
        <v>37</v>
      </c>
      <c r="T1" s="5" t="s">
        <v>38</v>
      </c>
      <c r="U1" s="5" t="s">
        <v>39</v>
      </c>
    </row>
    <row r="2" spans="1:21">
      <c r="A2" s="6" t="s">
        <v>40</v>
      </c>
      <c r="B2" s="6" t="s">
        <v>41</v>
      </c>
      <c r="C2" s="6" t="s">
        <v>42</v>
      </c>
      <c r="D2" s="6" t="s">
        <v>43</v>
      </c>
      <c r="E2" s="6" t="s">
        <v>44</v>
      </c>
      <c r="F2" s="6" t="s">
        <v>45</v>
      </c>
      <c r="G2" s="6" t="s">
        <v>46</v>
      </c>
      <c r="H2" s="6" t="s">
        <v>47</v>
      </c>
      <c r="I2" s="6" t="s">
        <v>48</v>
      </c>
      <c r="J2" s="6" t="s">
        <v>49</v>
      </c>
      <c r="K2" s="6" t="s">
        <v>50</v>
      </c>
      <c r="L2" s="6" t="s">
        <v>51</v>
      </c>
      <c r="M2" s="6" t="s">
        <v>52</v>
      </c>
      <c r="N2" s="6" t="s">
        <v>53</v>
      </c>
      <c r="O2" s="6" t="s">
        <v>54</v>
      </c>
      <c r="P2" s="6" t="s">
        <v>55</v>
      </c>
      <c r="Q2" s="6" t="s">
        <v>56</v>
      </c>
      <c r="R2" s="6" t="s">
        <v>57</v>
      </c>
      <c r="S2" s="6"/>
      <c r="T2" s="6"/>
      <c r="U2" s="6" t="s">
        <v>58</v>
      </c>
    </row>
    <row r="3" spans="1:21">
      <c r="A3" s="6" t="s">
        <v>59</v>
      </c>
      <c r="B3" s="6" t="s">
        <v>60</v>
      </c>
      <c r="C3" s="6" t="s">
        <v>61</v>
      </c>
      <c r="D3" s="6" t="s">
        <v>62</v>
      </c>
      <c r="E3" s="6" t="s">
        <v>63</v>
      </c>
      <c r="F3" s="6" t="s">
        <v>64</v>
      </c>
      <c r="G3" s="6" t="s">
        <v>65</v>
      </c>
      <c r="H3" s="6" t="s">
        <v>66</v>
      </c>
      <c r="I3" s="6" t="s">
        <v>67</v>
      </c>
      <c r="J3" s="6" t="s">
        <v>68</v>
      </c>
      <c r="K3" s="6" t="s">
        <v>69</v>
      </c>
      <c r="L3" s="6" t="s">
        <v>70</v>
      </c>
      <c r="M3" s="6" t="s">
        <v>71</v>
      </c>
      <c r="N3" s="6" t="s">
        <v>72</v>
      </c>
      <c r="O3" s="6" t="s">
        <v>73</v>
      </c>
      <c r="P3" s="6" t="s">
        <v>74</v>
      </c>
      <c r="Q3" s="6" t="s">
        <v>75</v>
      </c>
      <c r="R3" s="6" t="s">
        <v>76</v>
      </c>
      <c r="S3" s="6"/>
      <c r="T3" s="6"/>
      <c r="U3" s="6" t="s">
        <v>77</v>
      </c>
    </row>
    <row r="4" spans="1:21">
      <c r="A4" s="6" t="s">
        <v>78</v>
      </c>
      <c r="B4" s="6" t="s">
        <v>79</v>
      </c>
      <c r="C4" s="6" t="s">
        <v>80</v>
      </c>
      <c r="D4" s="6" t="s">
        <v>81</v>
      </c>
      <c r="E4" s="6" t="s">
        <v>82</v>
      </c>
      <c r="F4" s="6" t="s">
        <v>83</v>
      </c>
      <c r="G4" s="6" t="s">
        <v>84</v>
      </c>
      <c r="H4" s="6" t="s">
        <v>85</v>
      </c>
      <c r="I4" s="6" t="s">
        <v>86</v>
      </c>
      <c r="J4" s="6" t="s">
        <v>87</v>
      </c>
      <c r="K4" s="6" t="s">
        <v>88</v>
      </c>
      <c r="L4" s="6" t="s">
        <v>89</v>
      </c>
      <c r="M4" s="6" t="s">
        <v>90</v>
      </c>
      <c r="N4" s="6" t="s">
        <v>91</v>
      </c>
      <c r="O4" s="6" t="s">
        <v>92</v>
      </c>
      <c r="P4" s="6" t="s">
        <v>93</v>
      </c>
      <c r="Q4" s="6" t="s">
        <v>94</v>
      </c>
      <c r="R4" s="6" t="s">
        <v>95</v>
      </c>
      <c r="S4" s="6"/>
      <c r="T4" s="6"/>
      <c r="U4" s="6" t="s">
        <v>96</v>
      </c>
    </row>
    <row r="5" spans="1:21">
      <c r="A5" s="6" t="s">
        <v>97</v>
      </c>
      <c r="B5" s="6" t="s">
        <v>98</v>
      </c>
      <c r="C5" s="6" t="s">
        <v>99</v>
      </c>
      <c r="D5" s="6" t="s">
        <v>100</v>
      </c>
      <c r="E5" s="6" t="s">
        <v>101</v>
      </c>
      <c r="F5" s="6" t="s">
        <v>102</v>
      </c>
      <c r="G5" s="6" t="s">
        <v>103</v>
      </c>
      <c r="H5" s="6" t="s">
        <v>104</v>
      </c>
      <c r="I5" s="6" t="s">
        <v>105</v>
      </c>
      <c r="J5" s="6" t="s">
        <v>106</v>
      </c>
      <c r="K5" s="6" t="s">
        <v>107</v>
      </c>
      <c r="L5" s="6" t="s">
        <v>108</v>
      </c>
      <c r="M5" s="6" t="s">
        <v>109</v>
      </c>
      <c r="N5" s="6" t="s">
        <v>110</v>
      </c>
      <c r="O5" s="6" t="s">
        <v>111</v>
      </c>
      <c r="P5" s="6" t="s">
        <v>112</v>
      </c>
      <c r="Q5" s="6" t="s">
        <v>113</v>
      </c>
      <c r="R5" s="6" t="s">
        <v>114</v>
      </c>
      <c r="S5" s="6"/>
      <c r="T5" s="6"/>
      <c r="U5" s="6" t="s">
        <v>115</v>
      </c>
    </row>
  </sheetData>
  <autoFilter ref="A1:U400">
    <filterColumn colId="0"/>
    <filterColumn colId="1"/>
    <filterColumn colId="2"/>
    <filterColumn colId="3"/>
    <filterColumn colId="4"/>
    <filterColumn colId="5"/>
    <filterColumn colId="6"/>
    <filterColumn colId="7"/>
    <filterColumn colId="8"/>
    <filterColumn colId="9"/>
    <filterColumn colId="10"/>
    <filterColumn colId="11"/>
    <filterColumn colId="12"/>
    <filterColumn colId="13"/>
    <filterColumn colId="14"/>
    <filterColumn colId="15"/>
    <filterColumn colId="16"/>
    <filterColumn colId="17"/>
    <filterColumn colId="18"/>
    <filterColumn colId="19"/>
    <filterColumn colId="20"/>
  </autoFilter>
  <dataValidations count="13">
    <dataValidation sqref="B2:B400" type="list" operator="between" errorStyle="stop" allowBlank="1" showInputMessage="1" promptTitle="Valores válidos" prompt="Marca / familia" view="0">
      <formula1>'5. Listas'!$B$3:$B$18</formula1>
    </dataValidation>
    <dataValidation sqref="E2:E400" type="list" operator="between" errorStyle="stop" allowBlank="1" showInputMessage="1" promptTitle="Valores válidos" prompt="Fabricante del SoC" view="0">
      <formula1>'5. Listas'!$C$3:$C$10</formula1>
    </dataValidation>
    <dataValidation sqref="G2:G400" type="list" operator="between" errorStyle="stop" allowBlank="1" showInputMessage="1" promptTitle="Valores válidos" prompt="Plataforma" view="0">
      <formula1>'5. Listas'!$J$3:$J$4</formula1>
    </dataValidation>
    <dataValidation sqref="H2:H400" type="list" operator="between" errorStyle="stop" allowBlank="1" showInputMessage="1" promptTitle="Valores válidos" prompt="Mecanismo de acceso de bajo nivel" view="0">
      <formula1>'5. Listas'!$D$3:$D$10</formula1>
    </dataValidation>
    <dataValidation sqref="I2:I400" type="list" operator="between" errorStyle="stop" allowBlank="1" showInputMessage="1" promptTitle="Valores válidos" prompt="¿El mecanismo exige autenticación o token?" view="0">
      <formula1>'5. Listas'!$E$3:$E$6</formula1>
    </dataValidation>
    <dataValidation sqref="J2:J400" type="list" operator="between" errorStyle="stop" allowBlank="1" showInputMessage="1" promptTitle="Valores válidos" prompt="Estado del bootloader" view="0">
      <formula1>'5. Listas'!$F$3:$F$6</formula1>
    </dataValidation>
    <dataValidation sqref="K2:K400" type="list" operator="between" errorStyle="stop" allowBlank="1" showInputMessage="1" promptTitle="Valores válidos" prompt="Estado físico / arranque" view="0">
      <formula1>'5. Listas'!$G$3:$G$10</formula1>
    </dataValidation>
    <dataValidation sqref="L2:L400" type="list" operator="between" errorStyle="stop" allowBlank="1" showInputMessage="1" promptTitle="Valores válidos" prompt="Peldaño más alto alcanzado en la escalera L0-L6" view="0">
      <formula1>'5. Listas'!$H$3:$H$10</formula1>
    </dataValidation>
    <dataValidation sqref="M2:M400" type="list" operator="between" errorStyle="stop" allowBlank="1" view="0">
      <formula1>'5. Listas'!$I$3:$I$6</formula1>
    </dataValidation>
    <dataValidation sqref="N2:N400" type="list" operator="between" errorStyle="stop" allowBlank="1" showInputMessage="1" promptTitle="Valores válidos" prompt="T1-T4: ¿soportado en este equipo?" view="0">
      <formula1>'5. Listas'!$I$3:$I$6</formula1>
    </dataValidation>
    <dataValidation sqref="O2:O400" type="list" operator="between" errorStyle="stop" allowBlank="1" showInputMessage="1" promptTitle="Valores válidos" prompt="T1-T4: ¿soportado en este equipo?" view="0">
      <formula1>'5. Listas'!$I$3:$I$6</formula1>
    </dataValidation>
    <dataValidation sqref="P2:P400" type="list" operator="between" errorStyle="stop" allowBlank="1" showInputMessage="1" promptTitle="Valores válidos" prompt="T1-T4: ¿soportado en este equipo?" view="0">
      <formula1>'5. Listas'!$I$3:$I$6</formula1>
    </dataValidation>
    <dataValidation sqref="Q2:Q400" type="list" operator="between" errorStyle="stop" allowBlank="1" showInputMessage="1" promptTitle="Valores válidos" prompt="Ubicación física en el banco" view="0">
      <formula1>'5. Listas'!$K$3:$K$9</formula1>
    </dataValidation>
  </dataValidations>
  <printOptions>
    <extLst>
      <ext uri="smNativeData">
        <pm:pageFlags xmlns:pm="smNativeData" id="1790404482" printRowHead="0" printColHead="0" printHeadLine="0" printFootLine="0" autoHeightHeader="0" autoHeightFooter="0" fitToPageBoth="0"/>
      </ext>
    </extLst>
  </printOptions>
  <pageMargins left="0.750000" right="0.750000" top="1.000000" bottom="1.000000" header="0.500000" footer="0.500000"/>
  <pageSetup paperSize="1" fitToWidth="0" fitToHeight="1" pageOrder="overThenDown"/>
  <headerFooter>
    <extLst>
      <ext uri="smNativeData">
        <pm:header xmlns:pm="smNativeData" id="1790404482" l="56" r="56" t="56" b="56" borderId="0" fillId="0" vertical="0"/>
        <pm:footer xmlns:pm="smNativeData" id="1790404482" l="56" r="56" t="56" b="56" borderId="0" fillId="0" vertical="2"/>
        <pm:paperBin xmlns:pm="smNativeData" id="1790404482" Id="0" type="0" value="0"/>
        <pm:paperBin xmlns:pm="smNativeData" id="1790404482" Id="1" type="0" value="0"/>
      </ext>
    </extLst>
  </headerFooter>
  <extLst>
    <ext uri="smNativeData">
      <pm:sheetPrefs xmlns:pm="smNativeData" day="1790404482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Q12"/>
  <sheetViews>
    <sheetView view="normal" workbookViewId="0">
      <selection activeCell="A1" sqref="A1"/>
    </sheetView>
  </sheetViews>
  <sheetFormatPr defaultRowHeight="15.40"/>
  <cols>
    <col min="1" max="12" width="26.000000" customWidth="1"/>
  </cols>
  <sheetData>
    <row r="1" spans="1:1">
      <c r="A1" s="1" t="s">
        <v>116</v>
      </c>
    </row>
    <row r="3" spans="1:17">
      <c r="A3" s="3" t="s">
        <v>117</v>
      </c>
      <c r="B3" t="s">
        <v>118</v>
      </c>
      <c r="C3" t="s">
        <v>119</v>
      </c>
      <c r="D3" t="s">
        <v>120</v>
      </c>
      <c r="E3" t="s">
        <v>121</v>
      </c>
      <c r="F3" t="s">
        <v>122</v>
      </c>
      <c r="G3" t="s">
        <v>123</v>
      </c>
      <c r="H3" t="s">
        <v>124</v>
      </c>
      <c r="I3" t="s">
        <v>125</v>
      </c>
      <c r="J3" t="s">
        <v>126</v>
      </c>
      <c r="K3" t="s">
        <v>127</v>
      </c>
      <c r="L3" t="s">
        <v>128</v>
      </c>
      <c r="M3" t="s">
        <v>129</v>
      </c>
      <c r="N3" t="s">
        <v>130</v>
      </c>
      <c r="O3" t="s">
        <v>131</v>
      </c>
      <c r="P3" t="s">
        <v>132</v>
      </c>
      <c r="Q3" t="s">
        <v>133</v>
      </c>
    </row>
    <row r="4" spans="1:9">
      <c r="A4" s="3" t="s">
        <v>134</v>
      </c>
      <c r="B4" t="s">
        <v>135</v>
      </c>
      <c r="C4" t="s">
        <v>136</v>
      </c>
      <c r="D4" t="s">
        <v>137</v>
      </c>
      <c r="E4" t="s">
        <v>138</v>
      </c>
      <c r="F4" t="s">
        <v>139</v>
      </c>
      <c r="G4" t="s">
        <v>140</v>
      </c>
      <c r="H4" t="s">
        <v>141</v>
      </c>
      <c r="I4" t="s">
        <v>142</v>
      </c>
    </row>
    <row r="5" spans="1:9">
      <c r="A5" s="3" t="s">
        <v>143</v>
      </c>
      <c r="B5" t="s">
        <v>144</v>
      </c>
      <c r="C5" t="s">
        <v>145</v>
      </c>
      <c r="D5" t="s">
        <v>146</v>
      </c>
      <c r="E5" t="s">
        <v>147</v>
      </c>
      <c r="F5" t="s">
        <v>148</v>
      </c>
      <c r="G5" t="s">
        <v>149</v>
      </c>
      <c r="H5" t="s">
        <v>150</v>
      </c>
      <c r="I5" t="s">
        <v>151</v>
      </c>
    </row>
    <row r="6" spans="1:5">
      <c r="A6" s="3" t="s">
        <v>152</v>
      </c>
      <c r="B6" t="s">
        <v>153</v>
      </c>
      <c r="C6" t="s">
        <v>154</v>
      </c>
      <c r="D6" t="s">
        <v>155</v>
      </c>
      <c r="E6" t="s">
        <v>156</v>
      </c>
    </row>
    <row r="7" spans="1:5">
      <c r="A7" s="3" t="s">
        <v>157</v>
      </c>
      <c r="B7" t="s">
        <v>158</v>
      </c>
      <c r="C7" t="s">
        <v>159</v>
      </c>
      <c r="D7" t="s">
        <v>160</v>
      </c>
      <c r="E7" t="s">
        <v>161</v>
      </c>
    </row>
    <row r="8" spans="1:8">
      <c r="A8" s="3" t="s">
        <v>162</v>
      </c>
      <c r="B8" t="s">
        <v>163</v>
      </c>
      <c r="C8" t="s">
        <v>164</v>
      </c>
      <c r="D8" t="s">
        <v>165</v>
      </c>
      <c r="E8" t="s">
        <v>166</v>
      </c>
      <c r="F8" t="s">
        <v>167</v>
      </c>
      <c r="G8" t="s">
        <v>168</v>
      </c>
      <c r="H8" t="s">
        <v>169</v>
      </c>
    </row>
    <row r="9" spans="1:8">
      <c r="A9" s="3" t="s">
        <v>170</v>
      </c>
      <c r="B9" t="s">
        <v>171</v>
      </c>
      <c r="C9" t="s">
        <v>172</v>
      </c>
      <c r="D9" t="s">
        <v>173</v>
      </c>
      <c r="E9" t="s">
        <v>174</v>
      </c>
      <c r="F9" t="s">
        <v>175</v>
      </c>
      <c r="G9" t="s">
        <v>176</v>
      </c>
      <c r="H9" t="s">
        <v>177</v>
      </c>
    </row>
    <row r="10" spans="1:5">
      <c r="A10" s="3" t="s">
        <v>178</v>
      </c>
      <c r="B10" t="s">
        <v>179</v>
      </c>
      <c r="C10" t="s">
        <v>180</v>
      </c>
      <c r="D10" t="s">
        <v>181</v>
      </c>
      <c r="E10" t="s">
        <v>182</v>
      </c>
    </row>
    <row r="11" spans="1:4">
      <c r="A11" s="3" t="s">
        <v>183</v>
      </c>
      <c r="B11" t="s">
        <v>184</v>
      </c>
      <c r="C11" t="s">
        <v>185</v>
      </c>
      <c r="D11" t="s">
        <v>186</v>
      </c>
    </row>
    <row r="12" spans="1:8">
      <c r="A12" s="3" t="s">
        <v>187</v>
      </c>
      <c r="B12" t="s">
        <v>188</v>
      </c>
      <c r="C12" t="s">
        <v>189</v>
      </c>
      <c r="D12" t="s">
        <v>190</v>
      </c>
      <c r="E12" t="s">
        <v>191</v>
      </c>
      <c r="F12" t="s">
        <v>192</v>
      </c>
      <c r="G12" t="s">
        <v>193</v>
      </c>
      <c r="H12" t="s">
        <v>194</v>
      </c>
    </row>
  </sheetData>
  <printOptions>
    <extLst>
      <ext uri="smNativeData">
        <pm:pageFlags xmlns:pm="smNativeData" id="1790404482" printRowHead="0" printColHead="0" printHeadLine="0" printFootLine="0" autoHeightHeader="0" autoHeightFooter="0" fitToPageBoth="0"/>
      </ext>
    </extLst>
  </printOptions>
  <pageMargins left="0.750000" right="0.750000" top="1.000000" bottom="1.000000" header="0.500000" footer="0.500000"/>
  <pageSetup paperSize="1" fitToWidth="0" fitToHeight="1" pageOrder="overThenDown"/>
  <headerFooter>
    <extLst>
      <ext uri="smNativeData">
        <pm:header xmlns:pm="smNativeData" id="1790404482" l="56" r="56" t="56" b="56" borderId="0" fillId="0" vertical="0"/>
        <pm:footer xmlns:pm="smNativeData" id="1790404482" l="56" r="56" t="56" b="56" borderId="0" fillId="0" vertical="2"/>
        <pm:paperBin xmlns:pm="smNativeData" id="1790404482" Id="0" type="0" value="0"/>
        <pm:paperBin xmlns:pm="smNativeData" id="1790404482" Id="1" type="0" value="0"/>
      </ext>
    </extLst>
  </headerFooter>
  <extLst>
    <ext uri="smNativeData">
      <pm:sheetPrefs xmlns:pm="smNativeData" day="1790404482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F38"/>
  <sheetViews>
    <sheetView showGridLines="0" view="normal" workbookViewId="0">
      <selection activeCell="G8" sqref="G8"/>
    </sheetView>
  </sheetViews>
  <sheetFormatPr defaultRowHeight="15.40"/>
  <cols>
    <col min="1" max="1" width="26.000000" customWidth="1"/>
  </cols>
  <sheetData>
    <row r="1" spans="1:1">
      <c r="A1" s="1" t="s">
        <v>195</v>
      </c>
    </row>
    <row r="2" spans="1:1">
      <c r="A2" s="2" t="s">
        <v>196</v>
      </c>
    </row>
    <row r="4" spans="1:1">
      <c r="A4" s="7" t="s">
        <v>197</v>
      </c>
    </row>
    <row r="5" spans="1:4" ht="30" customHeight="1">
      <c r="A5" s="5" t="s">
        <v>198</v>
      </c>
      <c r="B5" s="5" t="s">
        <v>199</v>
      </c>
      <c r="C5" s="5" t="s">
        <v>200</v>
      </c>
      <c r="D5" s="5" t="s">
        <v>201</v>
      </c>
    </row>
    <row r="6" spans="1:4">
      <c r="A6" s="8" t="s">
        <v>202</v>
      </c>
      <c r="B6">
        <f>COUNTIF('2. Inventario'!$H$2:$H$400,$A6)</f>
        <v>3</v>
      </c>
      <c r="C6" s="9">
        <f>IFERROR(B6/COUNTA('2. Inventario'!$A$2:$A$400),0)</f>
        <v>0.75</v>
      </c>
      <c r="D6">
        <f>_xlfn.COUNTIFS('2. Inventario'!$H$2:$H$400,$A6,'2. Inventario'!$I$2:$I$400,"Sí*")</f>
        <v>2</v>
      </c>
    </row>
    <row r="7" spans="1:4">
      <c r="A7" s="8" t="s">
        <v>203</v>
      </c>
      <c r="B7">
        <f>COUNTIF('2. Inventario'!$H$2:$H$400,$A7)</f>
        <v>0</v>
      </c>
      <c r="C7" s="9">
        <f>IFERROR(B7/COUNTA('2. Inventario'!$A$2:$A$400),0)</f>
        <v>0</v>
      </c>
      <c r="D7">
        <f>_xlfn.COUNTIFS('2. Inventario'!$H$2:$H$400,$A7,'2. Inventario'!$I$2:$I$400,"Sí*")</f>
        <v>0</v>
      </c>
    </row>
    <row r="8" spans="1:4">
      <c r="A8" s="8" t="s">
        <v>204</v>
      </c>
      <c r="B8">
        <f>COUNTIF('2. Inventario'!$H$2:$H$400,$A8)</f>
        <v>0</v>
      </c>
      <c r="C8" s="9">
        <f>IFERROR(B8/COUNTA('2. Inventario'!$A$2:$A$400),0)</f>
        <v>0</v>
      </c>
      <c r="D8">
        <f>_xlfn.COUNTIFS('2. Inventario'!$H$2:$H$400,$A8,'2. Inventario'!$I$2:$I$400,"Sí*")</f>
        <v>0</v>
      </c>
    </row>
    <row r="9" spans="1:4">
      <c r="A9" s="8" t="s">
        <v>205</v>
      </c>
      <c r="B9">
        <f>COUNTIF('2. Inventario'!$H$2:$H$400,$A9)</f>
        <v>0</v>
      </c>
      <c r="C9" s="9">
        <f>IFERROR(B9/COUNTA('2. Inventario'!$A$2:$A$400),0)</f>
        <v>0</v>
      </c>
      <c r="D9">
        <f>_xlfn.COUNTIFS('2. Inventario'!$H$2:$H$400,$A9,'2. Inventario'!$I$2:$I$400,"Sí*")</f>
        <v>0</v>
      </c>
    </row>
    <row r="10" spans="1:4">
      <c r="A10" s="8" t="s">
        <v>206</v>
      </c>
      <c r="B10">
        <f>COUNTIF('2. Inventario'!$H$2:$H$400,$A10)</f>
        <v>1</v>
      </c>
      <c r="C10" s="9">
        <f>IFERROR(B10/COUNTA('2. Inventario'!$A$2:$A$400),0)</f>
        <v>0.25</v>
      </c>
      <c r="D10">
        <f>_xlfn.COUNTIFS('2. Inventario'!$H$2:$H$400,$A10,'2. Inventario'!$I$2:$I$400,"Sí*")</f>
        <v>1</v>
      </c>
    </row>
    <row r="11" spans="1:4">
      <c r="A11" s="8" t="s">
        <v>207</v>
      </c>
      <c r="B11">
        <f>COUNTIF('2. Inventario'!$H$2:$H$400,$A11)</f>
        <v>0</v>
      </c>
      <c r="C11" s="9">
        <f>IFERROR(B11/COUNTA('2. Inventario'!$A$2:$A$400),0)</f>
        <v>0</v>
      </c>
      <c r="D11">
        <f>_xlfn.COUNTIFS('2. Inventario'!$H$2:$H$400,$A11,'2. Inventario'!$I$2:$I$400,"Sí*")</f>
        <v>0</v>
      </c>
    </row>
    <row r="12" spans="1:4">
      <c r="A12" s="8" t="s">
        <v>208</v>
      </c>
      <c r="B12">
        <f>COUNTIF('2. Inventario'!$H$2:$H$400,$A12)</f>
        <v>0</v>
      </c>
      <c r="C12" s="9">
        <f>IFERROR(B12/COUNTA('2. Inventario'!$A$2:$A$400),0)</f>
        <v>0</v>
      </c>
      <c r="D12">
        <f>_xlfn.COUNTIFS('2. Inventario'!$H$2:$H$400,$A12,'2. Inventario'!$I$2:$I$400,"Sí*")</f>
        <v>0</v>
      </c>
    </row>
    <row r="13" spans="1:4">
      <c r="A13" s="8" t="s">
        <v>209</v>
      </c>
      <c r="B13">
        <f>COUNTIF('2. Inventario'!$H$2:$H$400,$A13)</f>
        <v>0</v>
      </c>
      <c r="C13" s="9">
        <f>IFERROR(B13/COUNTA('2. Inventario'!$A$2:$A$400),0)</f>
        <v>0</v>
      </c>
      <c r="D13">
        <f>_xlfn.COUNTIFS('2. Inventario'!$H$2:$H$400,$A13,'2. Inventario'!$I$2:$I$400,"Sí*")</f>
        <v>0</v>
      </c>
    </row>
    <row r="15" spans="1:1">
      <c r="A15" s="7" t="s">
        <v>210</v>
      </c>
    </row>
    <row r="16" spans="1:3" ht="30" customHeight="1">
      <c r="A16" s="5" t="s">
        <v>211</v>
      </c>
      <c r="B16" s="5" t="s">
        <v>212</v>
      </c>
      <c r="C16" s="5" t="s">
        <v>213</v>
      </c>
    </row>
    <row r="17" spans="1:3">
      <c r="A17" s="8" t="s">
        <v>214</v>
      </c>
      <c r="B17">
        <f>COUNTIF('2. Inventario'!$L$2:$L$400,$A17)</f>
        <v>0</v>
      </c>
      <c r="C17" s="9">
        <f>IFERROR(B17/COUNTA('2. Inventario'!$A$2:$A$400),0)</f>
        <v>0</v>
      </c>
    </row>
    <row r="18" spans="1:3">
      <c r="A18" s="8" t="s">
        <v>215</v>
      </c>
      <c r="B18">
        <f>COUNTIF('2. Inventario'!$L$2:$L$400,$A18)</f>
        <v>0</v>
      </c>
      <c r="C18" s="9">
        <f>IFERROR(B18/COUNTA('2. Inventario'!$A$2:$A$400),0)</f>
        <v>0</v>
      </c>
    </row>
    <row r="19" spans="1:3">
      <c r="A19" s="8" t="s">
        <v>216</v>
      </c>
      <c r="B19">
        <f>COUNTIF('2. Inventario'!$L$2:$L$400,$A19)</f>
        <v>0</v>
      </c>
      <c r="C19" s="9">
        <f>IFERROR(B19/COUNTA('2. Inventario'!$A$2:$A$400),0)</f>
        <v>0</v>
      </c>
    </row>
    <row r="20" spans="1:3">
      <c r="A20" s="8" t="s">
        <v>217</v>
      </c>
      <c r="B20">
        <f>COUNTIF('2. Inventario'!$L$2:$L$400,$A20)</f>
        <v>1</v>
      </c>
      <c r="C20" s="9">
        <f>IFERROR(B20/COUNTA('2. Inventario'!$A$2:$A$400),0)</f>
        <v>0.25</v>
      </c>
    </row>
    <row r="21" spans="1:3">
      <c r="A21" s="8" t="s">
        <v>218</v>
      </c>
      <c r="B21">
        <f>COUNTIF('2. Inventario'!$L$2:$L$400,$A21)</f>
        <v>2</v>
      </c>
      <c r="C21" s="9">
        <f>IFERROR(B21/COUNTA('2. Inventario'!$A$2:$A$400),0)</f>
        <v>0.5</v>
      </c>
    </row>
    <row r="22" spans="1:3">
      <c r="A22" s="8" t="s">
        <v>219</v>
      </c>
      <c r="B22">
        <f>COUNTIF('2. Inventario'!$L$2:$L$400,$A22)</f>
        <v>0</v>
      </c>
      <c r="C22" s="9">
        <f>IFERROR(B22/COUNTA('2. Inventario'!$A$2:$A$400),0)</f>
        <v>0</v>
      </c>
    </row>
    <row r="23" spans="1:3">
      <c r="A23" s="8" t="s">
        <v>220</v>
      </c>
      <c r="B23">
        <f>COUNTIF('2. Inventario'!$L$2:$L$400,$A23)</f>
        <v>1</v>
      </c>
      <c r="C23" s="9">
        <f>IFERROR(B23/COUNTA('2. Inventario'!$A$2:$A$400),0)</f>
        <v>0.25</v>
      </c>
    </row>
    <row r="25" spans="1:1">
      <c r="A25" s="7" t="s">
        <v>221</v>
      </c>
    </row>
    <row r="26" spans="1:6" ht="30" customHeight="1">
      <c r="A26" s="5" t="s">
        <v>222</v>
      </c>
      <c r="B26" s="5" t="s">
        <v>223</v>
      </c>
      <c r="C26" s="5" t="s">
        <v>224</v>
      </c>
      <c r="D26" s="5" t="s">
        <v>225</v>
      </c>
      <c r="E26" s="5" t="s">
        <v>226</v>
      </c>
      <c r="F26" s="5" t="s">
        <v>227</v>
      </c>
    </row>
    <row r="27" spans="1:6">
      <c r="A27" s="8" t="s">
        <v>228</v>
      </c>
      <c r="B27">
        <f>COUNTIF('2. Inventario'!$M$2:$M$400,"Sí")</f>
        <v>4</v>
      </c>
      <c r="C27">
        <f>COUNTIF('2. Inventario'!$M$2:$M$400,"Parcial")</f>
        <v>0</v>
      </c>
      <c r="D27">
        <f>COUNTIF('2. Inventario'!$M$2:$M$400,"No")</f>
        <v>0</v>
      </c>
      <c r="E27">
        <f>COUNTIF('2. Inventario'!$M$2:$M$400,"—")</f>
        <v>0</v>
      </c>
      <c r="F27" s="9">
        <f>IFERROR(B27/COUNTA('2. Inventario'!$A$2:$A$400),0)</f>
        <v>1</v>
      </c>
    </row>
    <row r="28" spans="1:6">
      <c r="A28" s="8" t="s">
        <v>229</v>
      </c>
      <c r="B28">
        <f>COUNTIF('2. Inventario'!$N$2:$N$400,"Sí")</f>
        <v>2</v>
      </c>
      <c r="C28">
        <f>COUNTIF('2. Inventario'!$N$2:$N$400,"Parcial")</f>
        <v>1</v>
      </c>
      <c r="D28">
        <f>COUNTIF('2. Inventario'!$N$2:$N$400,"No")</f>
        <v>1</v>
      </c>
      <c r="E28">
        <f>COUNTIF('2. Inventario'!$N$2:$N$400,"—")</f>
        <v>0</v>
      </c>
      <c r="F28" s="9">
        <f>IFERROR(B28/COUNTA('2. Inventario'!$A$2:$A$400),0)</f>
        <v>0.5</v>
      </c>
    </row>
    <row r="29" spans="1:6">
      <c r="A29" s="8" t="s">
        <v>230</v>
      </c>
      <c r="B29">
        <f>COUNTIF('2. Inventario'!$O$2:$O$400,"Sí")</f>
        <v>1</v>
      </c>
      <c r="C29">
        <f>COUNTIF('2. Inventario'!$O$2:$O$400,"Parcial")</f>
        <v>1</v>
      </c>
      <c r="D29">
        <f>COUNTIF('2. Inventario'!$O$2:$O$400,"No")</f>
        <v>2</v>
      </c>
      <c r="E29">
        <f>COUNTIF('2. Inventario'!$O$2:$O$400,"—")</f>
        <v>0</v>
      </c>
      <c r="F29" s="9">
        <f>IFERROR(B29/COUNTA('2. Inventario'!$A$2:$A$400),0)</f>
        <v>0.25</v>
      </c>
    </row>
    <row r="30" spans="1:6">
      <c r="A30" s="8" t="s">
        <v>231</v>
      </c>
      <c r="B30">
        <f>COUNTIF('2. Inventario'!$P$2:$P$400,"Sí")</f>
        <v>0</v>
      </c>
      <c r="C30">
        <f>COUNTIF('2. Inventario'!$P$2:$P$400,"Parcial")</f>
        <v>3</v>
      </c>
      <c r="D30">
        <f>COUNTIF('2. Inventario'!$P$2:$P$400,"No")</f>
        <v>0</v>
      </c>
      <c r="E30">
        <f>COUNTIF('2. Inventario'!$P$2:$P$400,"—")</f>
        <v>1</v>
      </c>
      <c r="F30" s="9">
        <f>IFERROR(B30/COUNTA('2. Inventario'!$A$2:$A$400),0)</f>
        <v>0</v>
      </c>
    </row>
    <row r="32" spans="1:1">
      <c r="A32" s="7" t="s">
        <v>232</v>
      </c>
    </row>
    <row r="33" spans="1:2" ht="30" customHeight="1">
      <c r="A33" s="5" t="s">
        <v>233</v>
      </c>
      <c r="B33" s="5" t="s">
        <v>234</v>
      </c>
    </row>
    <row r="34" spans="1:2">
      <c r="A34" s="8" t="s">
        <v>235</v>
      </c>
      <c r="B34">
        <f>COUNTA('2. Inventario'!$A$2:$A$400)</f>
        <v>4</v>
      </c>
    </row>
    <row r="35" spans="1:2">
      <c r="A35" s="8" t="s">
        <v>236</v>
      </c>
      <c r="B35">
        <f>COUNTIF($B$6:$B$13,"&gt;0")</f>
        <v>2</v>
      </c>
    </row>
    <row r="36" spans="1:2">
      <c r="A36" s="8" t="s">
        <v>237</v>
      </c>
      <c r="B36" s="9">
        <f>IFERROR(_xlfn.COUNTIFS('2. Inventario'!$L$2:$L$400,"L4 build.prop")+_xlfn.COUNTIFS('2. Inventario'!$L$2:$L$400,"L5 board ID")+_xlfn.COUNTIFS('2. Inventario'!$L$2:$L$400,"L6 baseband"),0)/COUNTA('2. Inventario'!$A$2:$A$400)</f>
        <v>0.75</v>
      </c>
    </row>
    <row r="37" spans="1:2">
      <c r="A37" s="8" t="s">
        <v>238</v>
      </c>
      <c r="B37" s="9">
        <f>IFERROR(COUNTIF('2. Inventario'!$N$2:$N$400,"Sí")/COUNTA('2. Inventario'!$A$2:$A$400),0)</f>
        <v>0.5</v>
      </c>
    </row>
    <row r="38" spans="1:2">
      <c r="A38" s="8" t="s">
        <v>239</v>
      </c>
      <c r="B38" s="9">
        <f>IFERROR(COUNTIF('2. Inventario'!$O$2:$O$400,"Sí")/COUNTA('2. Inventario'!$A$2:$A$400),0)</f>
        <v>0.25</v>
      </c>
    </row>
  </sheetData>
  <printOptions>
    <extLst>
      <ext uri="smNativeData">
        <pm:pageFlags xmlns:pm="smNativeData" id="1790404482" printRowHead="0" printColHead="0" printHeadLine="0" printFootLine="0" autoHeightHeader="0" autoHeightFooter="0" fitToPageBoth="0"/>
      </ext>
    </extLst>
  </printOptions>
  <pageMargins left="0.750000" right="0.750000" top="1.000000" bottom="1.000000" header="0.500000" footer="0.500000"/>
  <pageSetup paperSize="1" fitToWidth="0" fitToHeight="1" pageOrder="overThenDown"/>
  <headerFooter>
    <extLst>
      <ext uri="smNativeData">
        <pm:header xmlns:pm="smNativeData" id="1790404482" l="56" r="56" t="56" b="56" borderId="0" fillId="0" vertical="0"/>
        <pm:footer xmlns:pm="smNativeData" id="1790404482" l="56" r="56" t="56" b="56" borderId="0" fillId="0" vertical="2"/>
        <pm:paperBin xmlns:pm="smNativeData" id="1790404482" Id="0" type="0" value="0"/>
        <pm:paperBin xmlns:pm="smNativeData" id="1790404482" Id="1" type="0" value="0"/>
      </ext>
    </extLst>
  </headerFooter>
  <extLst>
    <ext uri="smNativeData">
      <pm:sheetPrefs xmlns:pm="smNativeData" day="1790404482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>
  <sheetPr filterMode="1"/>
  <dimension ref="A1:L1"/>
  <sheetViews>
    <sheetView tabSelected="1" view="normal" workbookViewId="0">
      <pane ySplit="1" topLeftCell="A2" activePane="bottomLeft" state="frozen"/>
      <selection pane="bottomLeft" activeCell="A1" sqref="A1"/>
    </sheetView>
  </sheetViews>
  <sheetFormatPr defaultRowHeight="15.40"/>
  <cols>
    <col min="1" max="1" width="12.000000" customWidth="1"/>
    <col min="2" max="2" width="14.000000" customWidth="1"/>
    <col min="3" max="3" width="24.000000" customWidth="1"/>
    <col min="4" max="4" width="16.000000" customWidth="1"/>
    <col min="5" max="5" width="14.000000" customWidth="1"/>
    <col min="6" max="7" width="12.000000" customWidth="1"/>
    <col min="8" max="8" width="11.000000" customWidth="1"/>
    <col min="9" max="9" width="20.000000" customWidth="1"/>
    <col min="10" max="10" width="46.000000" customWidth="1"/>
    <col min="11" max="11" width="52.000000" customWidth="1"/>
    <col min="12" max="12" width="26.000000" customWidth="1"/>
  </cols>
  <sheetData>
    <row r="1" spans="1:12" ht="30" customHeight="1">
      <c r="A1" s="5" t="s">
        <v>240</v>
      </c>
      <c r="B1" s="5" t="s">
        <v>241</v>
      </c>
      <c r="C1" s="5" t="s">
        <v>242</v>
      </c>
      <c r="D1" s="5" t="s">
        <v>243</v>
      </c>
      <c r="E1" s="5" t="s">
        <v>244</v>
      </c>
      <c r="F1" s="5" t="s">
        <v>245</v>
      </c>
      <c r="G1" s="5" t="s">
        <v>246</v>
      </c>
      <c r="H1" s="5" t="s">
        <v>247</v>
      </c>
      <c r="I1" s="5" t="s">
        <v>248</v>
      </c>
      <c r="J1" s="5" t="s">
        <v>249</v>
      </c>
      <c r="K1" s="5" t="s">
        <v>250</v>
      </c>
      <c r="L1" s="5" t="s">
        <v>251</v>
      </c>
    </row>
  </sheetData>
  <autoFilter ref="A1:L300">
    <filterColumn colId="0"/>
    <filterColumn colId="1"/>
    <filterColumn colId="2"/>
    <filterColumn colId="3"/>
    <filterColumn colId="4"/>
    <filterColumn colId="5"/>
    <filterColumn colId="6"/>
    <filterColumn colId="7"/>
    <filterColumn colId="8"/>
    <filterColumn colId="9"/>
    <filterColumn colId="10"/>
    <filterColumn colId="11"/>
  </autoFilter>
  <dataValidations count="3">
    <dataValidation sqref="E2:E300" type="list" operator="between" errorStyle="stop" allowBlank="1" view="0">
      <mc:AlternateContent xmlns:x12ac="http://schemas.microsoft.com/office/spreadsheetml/2011/1/ac" xmlns:mc="http://schemas.openxmlformats.org/markup-compatibility/2006">
        <mc:Choice Requires="x12ac">
          <x12ac:list>Éxito,"Fallo parcial",Fallo,"No concluyente"</x12ac:list>
        </mc:Choice>
        <mc:Fallback>
          <formula1>"Éxito,Fallo parcial,Fallo,No concluyente"</formula1>
        </mc:Fallback>
      </mc:AlternateContent>
    </dataValidation>
    <dataValidation sqref="F2:F300" type="list" operator="between" errorStyle="stop" allowBlank="1" view="0">
      <formula1>"Sí,No,N/A"</formula1>
    </dataValidation>
    <dataValidation sqref="G2:G300" type="list" operator="between" errorStyle="stop" allowBlank="1" view="0">
      <formula1>"Sí,No,N/A"</formula1>
    </dataValidation>
  </dataValidations>
  <printOptions>
    <extLst>
      <ext uri="smNativeData">
        <pm:pageFlags xmlns:pm="smNativeData" id="1790404482" printRowHead="0" printColHead="0" printHeadLine="0" printFootLine="0" autoHeightHeader="0" autoHeightFooter="0" fitToPageBoth="0"/>
      </ext>
    </extLst>
  </printOptions>
  <pageMargins left="0.750000" right="0.750000" top="1.000000" bottom="1.000000" header="0.500000" footer="0.500000"/>
  <pageSetup paperSize="1" fitToWidth="0" fitToHeight="1" pageOrder="overThenDown"/>
  <headerFooter>
    <extLst>
      <ext uri="smNativeData">
        <pm:header xmlns:pm="smNativeData" id="1790404482" l="56" r="56" t="56" b="56" borderId="0" fillId="0" vertical="0"/>
        <pm:footer xmlns:pm="smNativeData" id="1790404482" l="56" r="56" t="56" b="56" borderId="0" fillId="0" vertical="2"/>
        <pm:paperBin xmlns:pm="smNativeData" id="1790404482" Id="0" type="0" value="0"/>
        <pm:paperBin xmlns:pm="smNativeData" id="1790404482" Id="1" type="0" value="0"/>
      </ext>
    </extLst>
  </headerFooter>
  <extLst>
    <ext uri="smNativeData">
      <pm:sheetPrefs xmlns:pm="smNativeData" day="1790404482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Administrador</cp:lastModifiedBy>
  <cp:revision>0</cp:revision>
  <dcterms:created xsi:type="dcterms:W3CDTF">2026-09-26T06:07:30Z</dcterms:created>
  <dcterms:modified xsi:type="dcterms:W3CDTF">2026-09-26T06:34:42Z</dcterms:modified>
</cp:coreProperties>
</file>